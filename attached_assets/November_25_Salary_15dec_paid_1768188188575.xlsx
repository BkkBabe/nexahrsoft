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kah\Desktop\"/>
    </mc:Choice>
  </mc:AlternateContent>
  <xr:revisionPtr revIDLastSave="0" documentId="13_ncr:1_{45B2BB2F-43B8-4F6E-AB54-87428AA8BB8D}" xr6:coauthVersionLast="47" xr6:coauthVersionMax="47" xr10:uidLastSave="{00000000-0000-0000-0000-000000000000}"/>
  <bookViews>
    <workbookView xWindow="28680" yWindow="-120" windowWidth="29040" windowHeight="15720" xr2:uid="{85C1D663-06ED-431B-9A70-0DF6C7866AD0}"/>
  </bookViews>
  <sheets>
    <sheet name="Sheet1" sheetId="1" r:id="rId1"/>
  </sheets>
  <definedNames>
    <definedName name="_xlnm.Print_Area" localSheetId="0">Sheet1!$A$1:$AN$56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6" i="1" l="1"/>
  <c r="AK55" i="1"/>
  <c r="AL55" i="1"/>
  <c r="AF55" i="1"/>
  <c r="AN55" i="1" s="1"/>
  <c r="AG55" i="1"/>
  <c r="AH55" i="1"/>
  <c r="AG54" i="1"/>
  <c r="AH54" i="1"/>
  <c r="AL54" i="1"/>
  <c r="AN54" i="1"/>
  <c r="E56" i="1"/>
  <c r="R56" i="1"/>
  <c r="AF11" i="1"/>
  <c r="AG11" i="1"/>
  <c r="AL11" i="1"/>
  <c r="AN11" i="1" s="1"/>
  <c r="AF12" i="1"/>
  <c r="AG12" i="1"/>
  <c r="AL12" i="1"/>
  <c r="AN12" i="1"/>
  <c r="AF13" i="1"/>
  <c r="AG13" i="1"/>
  <c r="AL13" i="1"/>
  <c r="AN13" i="1"/>
  <c r="AF14" i="1"/>
  <c r="AG14" i="1"/>
  <c r="AL14" i="1"/>
  <c r="AN14" i="1" s="1"/>
  <c r="AF15" i="1"/>
  <c r="AG15" i="1"/>
  <c r="AI15" i="1"/>
  <c r="AJ15" i="1"/>
  <c r="AK15" i="1"/>
  <c r="AL15" i="1"/>
  <c r="AN15" i="1"/>
  <c r="AF16" i="1"/>
  <c r="AG16" i="1"/>
  <c r="AL16" i="1"/>
  <c r="AN16" i="1"/>
  <c r="AF17" i="1"/>
  <c r="AG17" i="1"/>
  <c r="AL17" i="1"/>
  <c r="AN17" i="1"/>
  <c r="AF18" i="1"/>
  <c r="AG18" i="1"/>
  <c r="AL18" i="1"/>
  <c r="AN18" i="1"/>
  <c r="AF19" i="1"/>
  <c r="AG19" i="1"/>
  <c r="AL19" i="1"/>
  <c r="AN19" i="1"/>
  <c r="AF20" i="1"/>
  <c r="AG20" i="1"/>
  <c r="AL20" i="1"/>
  <c r="AN20" i="1"/>
  <c r="AG8" i="1"/>
  <c r="AF8" i="1"/>
  <c r="AN7" i="1"/>
  <c r="AN8" i="1"/>
  <c r="AN9" i="1"/>
  <c r="AF10" i="1"/>
  <c r="AG10" i="1"/>
  <c r="AL10" i="1"/>
  <c r="AN10" i="1" s="1"/>
  <c r="AL50" i="1"/>
  <c r="AN50" i="1" s="1"/>
  <c r="AG50" i="1"/>
  <c r="AL25" i="1"/>
  <c r="AN25" i="1" s="1"/>
  <c r="AL26" i="1"/>
  <c r="AN26" i="1" s="1"/>
  <c r="AL27" i="1"/>
  <c r="AN27" i="1" s="1"/>
  <c r="AL28" i="1"/>
  <c r="AL29" i="1"/>
  <c r="AL30" i="1"/>
  <c r="AL31" i="1"/>
  <c r="AL32" i="1"/>
  <c r="AN32" i="1" s="1"/>
  <c r="AL33" i="1"/>
  <c r="AN33" i="1" s="1"/>
  <c r="AL34" i="1"/>
  <c r="AN34" i="1" s="1"/>
  <c r="AL35" i="1"/>
  <c r="AN35" i="1" s="1"/>
  <c r="AL36" i="1"/>
  <c r="AN36" i="1" s="1"/>
  <c r="AL37" i="1"/>
  <c r="AN37" i="1" s="1"/>
  <c r="AL38" i="1"/>
  <c r="AN38" i="1" s="1"/>
  <c r="AL39" i="1"/>
  <c r="AN39" i="1" s="1"/>
  <c r="AL40" i="1"/>
  <c r="AL41" i="1"/>
  <c r="AL42" i="1"/>
  <c r="AL43" i="1"/>
  <c r="AL44" i="1"/>
  <c r="AN44" i="1" s="1"/>
  <c r="AL45" i="1"/>
  <c r="AN45" i="1" s="1"/>
  <c r="AL46" i="1"/>
  <c r="AN46" i="1" s="1"/>
  <c r="AL47" i="1"/>
  <c r="AL48" i="1"/>
  <c r="AN48" i="1" s="1"/>
  <c r="AL49" i="1"/>
  <c r="AN49" i="1" s="1"/>
  <c r="AL51" i="1"/>
  <c r="AN51" i="1" s="1"/>
  <c r="AL52" i="1"/>
  <c r="AL53" i="1"/>
  <c r="AL21" i="1"/>
  <c r="AL22" i="1"/>
  <c r="AL23" i="1"/>
  <c r="AN23" i="1" s="1"/>
  <c r="AL24" i="1"/>
  <c r="AG21" i="1"/>
  <c r="AH21" i="1" s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1" i="1"/>
  <c r="AG52" i="1"/>
  <c r="AG53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N22" i="1"/>
  <c r="AN24" i="1"/>
  <c r="AN28" i="1"/>
  <c r="AN29" i="1"/>
  <c r="AN30" i="1"/>
  <c r="AN31" i="1"/>
  <c r="AN40" i="1"/>
  <c r="AN41" i="1"/>
  <c r="AN42" i="1"/>
  <c r="AN43" i="1"/>
  <c r="AN52" i="1"/>
  <c r="AH25" i="1"/>
  <c r="AH32" i="1" l="1"/>
  <c r="AM56" i="1" l="1"/>
  <c r="AK56" i="1"/>
  <c r="AJ56" i="1"/>
  <c r="AI56" i="1"/>
  <c r="AG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Q56" i="1"/>
  <c r="P56" i="1"/>
  <c r="O56" i="1"/>
  <c r="N56" i="1"/>
  <c r="M56" i="1"/>
  <c r="L56" i="1"/>
  <c r="K56" i="1"/>
  <c r="J56" i="1"/>
  <c r="I56" i="1"/>
  <c r="H56" i="1"/>
  <c r="G56" i="1"/>
  <c r="F56" i="1"/>
  <c r="AH53" i="1"/>
  <c r="AH52" i="1"/>
  <c r="AH51" i="1"/>
  <c r="AH49" i="1"/>
  <c r="AH48" i="1"/>
  <c r="AH47" i="1"/>
  <c r="AH46" i="1"/>
  <c r="AH45" i="1"/>
  <c r="AH44" i="1"/>
  <c r="AH41" i="1"/>
  <c r="AH39" i="1"/>
  <c r="AH38" i="1"/>
  <c r="AH36" i="1"/>
  <c r="AF56" i="1"/>
  <c r="AH56" i="1" l="1"/>
  <c r="AL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Hamserubyni Somasundram</author>
  </authors>
  <commentList>
    <comment ref="T36" authorId="0" shapeId="0" xr:uid="{24A5B8F3-2A33-4B3D-94E2-22DC5B58865B}">
      <text>
        <r>
          <rPr>
            <b/>
            <sz val="9"/>
            <color indexed="81"/>
            <rFont val="Tahoma"/>
            <charset val="1"/>
          </rPr>
          <t>Hamserubyni Somasundram:</t>
        </r>
        <r>
          <rPr>
            <sz val="9"/>
            <color indexed="81"/>
            <rFont val="Tahoma"/>
            <charset val="1"/>
          </rPr>
          <t xml:space="preserve">
Advance 12/12/25
</t>
        </r>
      </text>
    </comment>
  </commentList>
</comments>
</file>

<file path=xl/sharedStrings.xml><?xml version="1.0" encoding="utf-8"?>
<sst xmlns="http://schemas.openxmlformats.org/spreadsheetml/2006/main" count="158" uniqueCount="153">
  <si>
    <t xml:space="preserve"> Monthly Payroll Detail Excel Report </t>
  </si>
  <si>
    <t>Pay Period :</t>
  </si>
  <si>
    <t>END Month - NOV '2025</t>
  </si>
  <si>
    <t>Company Name :</t>
  </si>
  <si>
    <t>3SI PTE. LTD.</t>
  </si>
  <si>
    <t>GROSS ADDITIONS</t>
  </si>
  <si>
    <t>ALLOWANCE WITH CPF ( ORDINARY )</t>
  </si>
  <si>
    <t>ALLOWANCE WITH CPF ( ADDITIONAL )</t>
  </si>
  <si>
    <t>ALLOWANCE WITH OUT CPF</t>
  </si>
  <si>
    <t>GROSS DEDUCTIONS WITH OUT CPF</t>
  </si>
  <si>
    <t>OT AMOUNT</t>
  </si>
  <si>
    <t>ADDITION</t>
  </si>
  <si>
    <t>DEDUCTION</t>
  </si>
  <si>
    <t>FUNDS</t>
  </si>
  <si>
    <t>CPF CONTRIBUTION</t>
  </si>
  <si>
    <t>No</t>
  </si>
  <si>
    <t>EMP CODE</t>
  </si>
  <si>
    <t>EMPLOYEE NAME</t>
  </si>
  <si>
    <t>Days</t>
  </si>
  <si>
    <t>FLAT</t>
  </si>
  <si>
    <t>OT10</t>
  </si>
  <si>
    <t>OT15</t>
  </si>
  <si>
    <t>OT20</t>
  </si>
  <si>
    <t>OT30</t>
  </si>
  <si>
    <t>SHIFT ALLOWANCE</t>
  </si>
  <si>
    <t>TOT REST/PH AMOUNT</t>
  </si>
  <si>
    <t>MOBILE ALLOWANCE</t>
  </si>
  <si>
    <t>TRANSPORT ALLOWANCE (60-111)</t>
  </si>
  <si>
    <t>ANNUAL LEAVE ENCASHMENT</t>
  </si>
  <si>
    <t>SERVICE CALL ALLOWANCES (60-102)</t>
  </si>
  <si>
    <t>OTHER ALLOWANCE</t>
  </si>
  <si>
    <t>HOUSE RENTAL ALLOWANCES (60-217)</t>
  </si>
  <si>
    <t>LOAN REPAYMENT (26-100) -  4TH LOAN(4/10)</t>
  </si>
  <si>
    <t>LOAN REPAYMENT (26-100) - 1ST LOAN(1/1)</t>
  </si>
  <si>
    <t>LOAN REPAYMENT (26-100) - 1ST LOAN(11/10)</t>
  </si>
  <si>
    <t>LOAN REPAYMENT (26-100) - 2ND LOAN(2/5)</t>
  </si>
  <si>
    <t>LOAN REPAYMENT (26-100) - 2ND LOAN(4/12)</t>
  </si>
  <si>
    <t>COUNTERFEIT APP DEDUCTION</t>
  </si>
  <si>
    <t>NO PAY DAY</t>
  </si>
  <si>
    <t>CC</t>
  </si>
  <si>
    <t>CDAC</t>
  </si>
  <si>
    <t>ECF</t>
  </si>
  <si>
    <t>MBMF</t>
  </si>
  <si>
    <t>SINDA</t>
  </si>
  <si>
    <t>GROSS WAGES</t>
  </si>
  <si>
    <t>CPF WAGES</t>
  </si>
  <si>
    <t>SDF</t>
  </si>
  <si>
    <t>EMPLOYER CPF</t>
  </si>
  <si>
    <t>EMPLOYEE CPF</t>
  </si>
  <si>
    <t>TOTAL</t>
  </si>
  <si>
    <t>NETT</t>
  </si>
  <si>
    <t>06001</t>
  </si>
  <si>
    <t>RAMADAS JAYARAM GOVINDASAMY</t>
  </si>
  <si>
    <t>06002</t>
  </si>
  <si>
    <t>MANICKAN JAMUNA RANI</t>
  </si>
  <si>
    <t>06003</t>
  </si>
  <si>
    <t>YUGUMARAN R</t>
  </si>
  <si>
    <t>14001</t>
  </si>
  <si>
    <t>MOSTAFIZUR RAHMAN</t>
  </si>
  <si>
    <t>15001</t>
  </si>
  <si>
    <t>VELLAIKKANNU VADIVELU</t>
  </si>
  <si>
    <t>16002</t>
  </si>
  <si>
    <t>PERUMAL GOVINDARASU</t>
  </si>
  <si>
    <t>17001</t>
  </si>
  <si>
    <t>MALAIKKOLUNDHU KUMARAVEL</t>
  </si>
  <si>
    <t>17003</t>
  </si>
  <si>
    <t>RAJENDRAN DINESHVAIRAPATHI</t>
  </si>
  <si>
    <t>Resigned. Last Working day Nov -15</t>
  </si>
  <si>
    <t>17004</t>
  </si>
  <si>
    <t>VISHNU PRAVIN S/O R RAMAYA</t>
  </si>
  <si>
    <t>18003</t>
  </si>
  <si>
    <t>SUJAN AHMED</t>
  </si>
  <si>
    <t>21001</t>
  </si>
  <si>
    <t>HAQ AMINUL</t>
  </si>
  <si>
    <t>21003</t>
  </si>
  <si>
    <t>SEENUVASAN RATHINAKUMAR</t>
  </si>
  <si>
    <t>21004</t>
  </si>
  <si>
    <t>GOVINDARAJU ANBALAGAN</t>
  </si>
  <si>
    <t>21005</t>
  </si>
  <si>
    <t>JUSTINDRAN Y</t>
  </si>
  <si>
    <t>22002</t>
  </si>
  <si>
    <t>MIAH RASEL</t>
  </si>
  <si>
    <t>22003</t>
  </si>
  <si>
    <t>DEVENDIRAN SARAVANAKUMAR</t>
  </si>
  <si>
    <t>Resigned. Last Working day Nov -10</t>
  </si>
  <si>
    <t>22004</t>
  </si>
  <si>
    <t>SAMIGOVINDHAN VIJAYAKUMAR</t>
  </si>
  <si>
    <t>22006</t>
  </si>
  <si>
    <t>MOHAMMAD BILLAL</t>
  </si>
  <si>
    <t>22009</t>
  </si>
  <si>
    <t>KARUNAKARAN PERIYASAMY</t>
  </si>
  <si>
    <t>23004</t>
  </si>
  <si>
    <t>KANNAN SURYAPRAKASH</t>
  </si>
  <si>
    <t>23006</t>
  </si>
  <si>
    <t>RAJA ARULKUMAR</t>
  </si>
  <si>
    <t>23011</t>
  </si>
  <si>
    <t>KISHANRAJ PANNIR SELVAM</t>
  </si>
  <si>
    <t>23012</t>
  </si>
  <si>
    <t>MARTIN NG SOO LEONG</t>
  </si>
  <si>
    <t>23014</t>
  </si>
  <si>
    <t>MURUGAN SATHISHKUMAR</t>
  </si>
  <si>
    <t>23016</t>
  </si>
  <si>
    <t>LAVANIAH PUNNIYAMUTHY</t>
  </si>
  <si>
    <t>23020</t>
  </si>
  <si>
    <t>MUTHUSAMY RAGAVAN</t>
  </si>
  <si>
    <t>24003</t>
  </si>
  <si>
    <t>LOGESH A/L VEJAYAKUMURAN</t>
  </si>
  <si>
    <t>24004</t>
  </si>
  <si>
    <t>ABOOL FEDEBRIC MORIL</t>
  </si>
  <si>
    <t>24007</t>
  </si>
  <si>
    <t>NIRHUMALAN GANGAN</t>
  </si>
  <si>
    <t>24008</t>
  </si>
  <si>
    <t>HOSSAIN ABIR</t>
  </si>
  <si>
    <t>24014</t>
  </si>
  <si>
    <t>ALI MD ROMJAN</t>
  </si>
  <si>
    <t>24020</t>
  </si>
  <si>
    <t>MOLLA FIROZ</t>
  </si>
  <si>
    <t>24029</t>
  </si>
  <si>
    <t>NATARAJAN ARAVINDA KUMAR</t>
  </si>
  <si>
    <t>24030</t>
  </si>
  <si>
    <t>GOVINDARAJ KOORI SELVAM</t>
  </si>
  <si>
    <t>24031</t>
  </si>
  <si>
    <t>TULASI DASS S/O JAYARAM GOVINDASAMY</t>
  </si>
  <si>
    <t>25001</t>
  </si>
  <si>
    <t>SHIL SHAM SUNDAR</t>
  </si>
  <si>
    <t>25002</t>
  </si>
  <si>
    <t>NAVENH PATMANATHAN MOHAN RAJ</t>
  </si>
  <si>
    <t>25003</t>
  </si>
  <si>
    <t>OSMAN GONI MOHAMMAD</t>
  </si>
  <si>
    <t>25004</t>
  </si>
  <si>
    <t>PRABHAHARAN RAMASAMY</t>
  </si>
  <si>
    <t>25005</t>
  </si>
  <si>
    <t>RAVINDRAN SIVAPRAKASAM</t>
  </si>
  <si>
    <t>25006</t>
  </si>
  <si>
    <t>RAMACHANDRAN MOHAN DINESH KUMAR</t>
  </si>
  <si>
    <t>25010</t>
  </si>
  <si>
    <t>GIRIDHARI RAMAMOORTHY</t>
  </si>
  <si>
    <t>25011</t>
  </si>
  <si>
    <t>SHAGIV RAJ DAVID</t>
  </si>
  <si>
    <t>25012</t>
  </si>
  <si>
    <t>MUTHALIAPPAN KAILASANATHAN</t>
  </si>
  <si>
    <t>25016</t>
  </si>
  <si>
    <t>RANA</t>
  </si>
  <si>
    <t>25017</t>
  </si>
  <si>
    <t>FAITH JR. NEGAPATAN</t>
  </si>
  <si>
    <t>SAKTHIVEL MUTHULAKSHMI</t>
  </si>
  <si>
    <t>TOTAL:</t>
  </si>
  <si>
    <t>SELVARAJ SATHIYASEELAN</t>
  </si>
  <si>
    <t>TOTAL SALARY</t>
  </si>
  <si>
    <t>ADVANCE 12/12/25</t>
  </si>
  <si>
    <t>BALANCE SALARY</t>
  </si>
  <si>
    <t>INCREMENT FROM NOV</t>
  </si>
  <si>
    <t>Murali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</si>
</sst>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2"/>
      <color rgb="FFFF0000"/>
      <name val="Arial"/>
      <family val="2"/>
    </font>
    <font>
      <b/>
      <sz val="12"/>
      <color rgb="FFFF0000"/>
      <name val="Cambria"/>
      <family val="1"/>
    </font>
    <font>
      <b/>
      <sz val="10"/>
      <color rgb="FFFF0000"/>
      <name val="Cambria"/>
      <family val="1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2" fontId="3" fillId="2" borderId="0" xfId="0" applyNumberFormat="1" applyFont="1" applyFill="1"/>
    <xf numFmtId="0" fontId="5" fillId="0" borderId="0" xfId="0" applyFont="1"/>
    <xf numFmtId="0" fontId="3" fillId="2" borderId="0" xfId="0" applyFont="1" applyFill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1" xfId="0" applyFont="1" applyBorder="1"/>
    <xf numFmtId="164" fontId="7" fillId="3" borderId="1" xfId="0" applyNumberFormat="1" applyFont="1" applyFill="1" applyBorder="1"/>
    <xf numFmtId="164" fontId="7" fillId="0" borderId="1" xfId="0" applyNumberFormat="1" applyFont="1" applyBorder="1"/>
    <xf numFmtId="164" fontId="7" fillId="2" borderId="1" xfId="0" applyNumberFormat="1" applyFont="1" applyFill="1" applyBorder="1"/>
    <xf numFmtId="0" fontId="7" fillId="0" borderId="0" xfId="0" applyFont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8" fillId="4" borderId="0" xfId="0" applyFont="1" applyFill="1"/>
    <xf numFmtId="0" fontId="8" fillId="0" borderId="0" xfId="0" applyFont="1"/>
    <xf numFmtId="0" fontId="7" fillId="3" borderId="1" xfId="0" applyFont="1" applyFill="1" applyBorder="1"/>
    <xf numFmtId="0" fontId="7" fillId="3" borderId="0" xfId="0" applyFont="1" applyFill="1"/>
    <xf numFmtId="0" fontId="8" fillId="0" borderId="1" xfId="0" applyFont="1" applyBorder="1"/>
    <xf numFmtId="164" fontId="8" fillId="3" borderId="1" xfId="0" applyNumberFormat="1" applyFont="1" applyFill="1" applyBorder="1"/>
    <xf numFmtId="164" fontId="8" fillId="0" borderId="1" xfId="0" applyNumberFormat="1" applyFont="1" applyBorder="1"/>
    <xf numFmtId="164" fontId="8" fillId="2" borderId="1" xfId="0" applyNumberFormat="1" applyFont="1" applyFill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0" fontId="8" fillId="5" borderId="0" xfId="0" applyFont="1" applyFill="1"/>
    <xf numFmtId="0" fontId="7" fillId="0" borderId="1" xfId="0" applyFont="1" applyBorder="1" applyAlignment="1">
      <alignment horizontal="left"/>
    </xf>
    <xf numFmtId="0" fontId="8" fillId="3" borderId="1" xfId="0" applyFont="1" applyFill="1" applyBorder="1"/>
    <xf numFmtId="0" fontId="8" fillId="3" borderId="0" xfId="0" applyFont="1" applyFill="1"/>
    <xf numFmtId="0" fontId="8" fillId="6" borderId="1" xfId="0" applyFont="1" applyFill="1" applyBorder="1"/>
    <xf numFmtId="164" fontId="8" fillId="6" borderId="1" xfId="0" applyNumberFormat="1" applyFont="1" applyFill="1" applyBorder="1"/>
    <xf numFmtId="0" fontId="8" fillId="6" borderId="0" xfId="0" applyFont="1" applyFill="1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2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164" fontId="12" fillId="4" borderId="1" xfId="0" applyNumberFormat="1" applyFont="1" applyFill="1" applyBorder="1"/>
    <xf numFmtId="164" fontId="12" fillId="0" borderId="1" xfId="0" applyNumberFormat="1" applyFont="1" applyBorder="1"/>
    <xf numFmtId="164" fontId="12" fillId="5" borderId="1" xfId="0" applyNumberFormat="1" applyFont="1" applyFill="1" applyBorder="1"/>
    <xf numFmtId="164" fontId="12" fillId="3" borderId="1" xfId="0" applyNumberFormat="1" applyFont="1" applyFill="1" applyBorder="1"/>
    <xf numFmtId="164" fontId="12" fillId="6" borderId="1" xfId="0" applyNumberFormat="1" applyFont="1" applyFill="1" applyBorder="1"/>
    <xf numFmtId="2" fontId="11" fillId="0" borderId="0" xfId="0" applyNumberFormat="1" applyFont="1"/>
    <xf numFmtId="0" fontId="11" fillId="0" borderId="0" xfId="0" applyFont="1"/>
    <xf numFmtId="164" fontId="13" fillId="0" borderId="1" xfId="0" applyNumberFormat="1" applyFont="1" applyBorder="1" applyAlignment="1">
      <alignment horizontal="right"/>
    </xf>
    <xf numFmtId="0" fontId="14" fillId="0" borderId="0" xfId="0" applyFont="1"/>
    <xf numFmtId="9" fontId="3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2FD6-A54E-43EC-A1D4-1DD4C3951186}">
  <dimension ref="A1:BT56"/>
  <sheetViews>
    <sheetView tabSelected="1" topLeftCell="A33" zoomScale="90" zoomScaleNormal="90" zoomScaleSheetLayoutView="95" workbookViewId="0">
      <selection activeCell="BD66" sqref="BD65:BD66"/>
    </sheetView>
  </sheetViews>
  <sheetFormatPr defaultColWidth="5.08984375" defaultRowHeight="15.5" x14ac:dyDescent="0.35"/>
  <cols>
    <col min="1" max="1" width="4.54296875" style="1" customWidth="1"/>
    <col min="2" max="2" width="7.6328125" style="1" customWidth="1"/>
    <col min="3" max="3" width="27" style="1" customWidth="1"/>
    <col min="4" max="4" width="4.90625" style="1" bestFit="1" customWidth="1"/>
    <col min="5" max="5" width="15" style="1" customWidth="1"/>
    <col min="6" max="10" width="6.81640625" style="1" hidden="1" customWidth="1"/>
    <col min="11" max="11" width="8.453125" style="1" hidden="1" customWidth="1"/>
    <col min="12" max="12" width="10.6328125" style="1" hidden="1" customWidth="1"/>
    <col min="13" max="16" width="10.81640625" style="1" customWidth="1"/>
    <col min="17" max="17" width="13.81640625" style="1" customWidth="1"/>
    <col min="18" max="18" width="13.81640625" style="56" customWidth="1"/>
    <col min="19" max="25" width="10.81640625" style="1" customWidth="1"/>
    <col min="26" max="26" width="15.81640625" style="39" customWidth="1"/>
    <col min="27" max="30" width="9.1796875" style="1" customWidth="1"/>
    <col min="31" max="31" width="10.7265625" style="1" customWidth="1"/>
    <col min="32" max="33" width="14.81640625" style="1" bestFit="1" customWidth="1"/>
    <col min="34" max="34" width="10.453125" style="1" bestFit="1" customWidth="1"/>
    <col min="35" max="35" width="12.08984375" style="1" bestFit="1" customWidth="1"/>
    <col min="36" max="36" width="12.90625" style="1" bestFit="1" customWidth="1"/>
    <col min="37" max="37" width="13.6328125" style="1" bestFit="1" customWidth="1"/>
    <col min="38" max="38" width="14.81640625" style="1" bestFit="1" customWidth="1"/>
    <col min="39" max="39" width="11.1796875" style="1" bestFit="1" customWidth="1"/>
    <col min="40" max="40" width="18.7265625" style="1" customWidth="1"/>
    <col min="41" max="41" width="35.08984375" style="1" bestFit="1" customWidth="1"/>
    <col min="42" max="16384" width="5.08984375" style="1"/>
  </cols>
  <sheetData>
    <row r="1" spans="1:72" x14ac:dyDescent="0.3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</row>
    <row r="2" spans="1:72" s="5" customFormat="1" x14ac:dyDescent="0.3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53"/>
      <c r="S2" s="3"/>
      <c r="T2" s="3"/>
      <c r="U2" s="3"/>
      <c r="V2" s="3"/>
      <c r="W2" s="3"/>
      <c r="X2" s="3"/>
      <c r="Y2" s="3"/>
      <c r="Z2" s="4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s="5" customFormat="1" x14ac:dyDescent="0.35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54"/>
      <c r="S3" s="2"/>
      <c r="T3" s="2"/>
      <c r="U3" s="2"/>
      <c r="V3" s="2"/>
      <c r="W3" s="2"/>
      <c r="X3" s="2"/>
      <c r="Y3" s="2"/>
      <c r="Z3" s="6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 x14ac:dyDescent="0.35">
      <c r="A4" s="2"/>
      <c r="B4" s="2"/>
      <c r="C4" s="2"/>
      <c r="D4" s="2"/>
      <c r="E4" s="40" t="s">
        <v>5</v>
      </c>
      <c r="F4" s="40"/>
      <c r="G4" s="40"/>
      <c r="H4" s="40"/>
      <c r="I4" s="40"/>
      <c r="J4" s="40"/>
      <c r="K4" s="40"/>
      <c r="L4" s="40"/>
      <c r="M4" s="40" t="s">
        <v>6</v>
      </c>
      <c r="N4" s="40"/>
      <c r="O4" s="40" t="s">
        <v>7</v>
      </c>
      <c r="P4" s="40"/>
      <c r="Q4" s="60" t="s">
        <v>8</v>
      </c>
      <c r="R4" s="60"/>
      <c r="S4" s="60" t="s">
        <v>8</v>
      </c>
      <c r="T4" s="60"/>
      <c r="U4" s="60"/>
      <c r="V4" s="60"/>
      <c r="W4" s="60"/>
      <c r="X4" s="60"/>
      <c r="Y4" s="60"/>
      <c r="Z4" s="60" t="s">
        <v>9</v>
      </c>
      <c r="AA4" s="60"/>
      <c r="AB4" s="60"/>
      <c r="AC4" s="60"/>
      <c r="AD4" s="60"/>
      <c r="AE4" s="60"/>
      <c r="AF4" s="2"/>
      <c r="AG4" s="2"/>
      <c r="AH4" s="2"/>
      <c r="AI4" s="57">
        <v>0.17</v>
      </c>
      <c r="AJ4" s="57">
        <v>0.2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spans="1:72" s="5" customFormat="1" x14ac:dyDescent="0.35">
      <c r="A5" s="2"/>
      <c r="B5" s="2"/>
      <c r="C5" s="2"/>
      <c r="D5" s="2"/>
      <c r="E5" s="41"/>
      <c r="F5" s="61" t="s">
        <v>10</v>
      </c>
      <c r="G5" s="61"/>
      <c r="H5" s="61"/>
      <c r="I5" s="61"/>
      <c r="J5" s="61"/>
      <c r="K5" s="2"/>
      <c r="L5" s="2"/>
      <c r="M5" s="61" t="s">
        <v>11</v>
      </c>
      <c r="N5" s="62"/>
      <c r="O5" s="61" t="s">
        <v>11</v>
      </c>
      <c r="P5" s="62"/>
      <c r="Q5" s="7" t="s">
        <v>11</v>
      </c>
      <c r="R5" s="46" t="s">
        <v>11</v>
      </c>
      <c r="S5" s="61" t="s">
        <v>12</v>
      </c>
      <c r="T5" s="61"/>
      <c r="U5" s="61"/>
      <c r="V5" s="61"/>
      <c r="W5" s="61"/>
      <c r="X5" s="61"/>
      <c r="Y5" s="62"/>
      <c r="Z5" s="61" t="s">
        <v>12</v>
      </c>
      <c r="AA5" s="61" t="s">
        <v>13</v>
      </c>
      <c r="AB5" s="61"/>
      <c r="AC5" s="61"/>
      <c r="AD5" s="61"/>
      <c r="AE5" s="61"/>
      <c r="AF5" s="2"/>
      <c r="AG5" s="2"/>
      <c r="AH5" s="2"/>
      <c r="AI5" s="58" t="s">
        <v>14</v>
      </c>
      <c r="AJ5" s="58"/>
      <c r="AK5" s="59"/>
      <c r="AL5" s="8"/>
      <c r="AM5" s="2"/>
      <c r="AN5" s="2"/>
      <c r="AO5" s="2"/>
      <c r="AP5" s="2"/>
      <c r="AQ5" s="2"/>
      <c r="AR5" s="2"/>
    </row>
    <row r="6" spans="1:72" s="14" customFormat="1" ht="58.5" customHeight="1" x14ac:dyDescent="0.3">
      <c r="A6" s="9" t="s">
        <v>15</v>
      </c>
      <c r="B6" s="9" t="s">
        <v>16</v>
      </c>
      <c r="C6" s="9" t="s">
        <v>17</v>
      </c>
      <c r="D6" s="10" t="s">
        <v>18</v>
      </c>
      <c r="E6" s="10" t="s">
        <v>148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  <c r="K6" s="10" t="s">
        <v>24</v>
      </c>
      <c r="L6" s="10" t="s">
        <v>25</v>
      </c>
      <c r="M6" s="9" t="s">
        <v>26</v>
      </c>
      <c r="N6" s="9" t="s">
        <v>27</v>
      </c>
      <c r="O6" s="9" t="s">
        <v>28</v>
      </c>
      <c r="P6" s="9" t="s">
        <v>29</v>
      </c>
      <c r="Q6" s="10" t="s">
        <v>30</v>
      </c>
      <c r="R6" s="47" t="s">
        <v>151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35</v>
      </c>
      <c r="X6" s="9" t="s">
        <v>36</v>
      </c>
      <c r="Y6" s="9" t="s">
        <v>37</v>
      </c>
      <c r="Z6" s="11" t="s">
        <v>38</v>
      </c>
      <c r="AA6" s="9" t="s">
        <v>39</v>
      </c>
      <c r="AB6" s="9" t="s">
        <v>40</v>
      </c>
      <c r="AC6" s="9" t="s">
        <v>41</v>
      </c>
      <c r="AD6" s="9" t="s">
        <v>42</v>
      </c>
      <c r="AE6" s="9" t="s">
        <v>43</v>
      </c>
      <c r="AF6" s="9" t="s">
        <v>44</v>
      </c>
      <c r="AG6" s="9" t="s">
        <v>45</v>
      </c>
      <c r="AH6" s="9" t="s">
        <v>46</v>
      </c>
      <c r="AI6" s="9" t="s">
        <v>47</v>
      </c>
      <c r="AJ6" s="9" t="s">
        <v>48</v>
      </c>
      <c r="AK6" s="9" t="s">
        <v>49</v>
      </c>
      <c r="AL6" s="9" t="s">
        <v>50</v>
      </c>
      <c r="AM6" s="12" t="s">
        <v>149</v>
      </c>
      <c r="AN6" s="12" t="s">
        <v>150</v>
      </c>
      <c r="AO6" s="13"/>
      <c r="AP6" s="13"/>
      <c r="AQ6" s="13"/>
      <c r="AR6" s="13"/>
    </row>
    <row r="7" spans="1:72" s="19" customFormat="1" ht="22.5" customHeight="1" x14ac:dyDescent="0.3">
      <c r="A7" s="15">
        <v>1</v>
      </c>
      <c r="B7" s="15" t="s">
        <v>51</v>
      </c>
      <c r="C7" s="15" t="s">
        <v>52</v>
      </c>
      <c r="D7" s="15">
        <v>5</v>
      </c>
      <c r="E7" s="16">
        <v>22500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/>
      <c r="N7" s="17"/>
      <c r="O7" s="17"/>
      <c r="P7" s="17"/>
      <c r="Q7" s="17"/>
      <c r="R7" s="49"/>
      <c r="S7" s="17"/>
      <c r="T7" s="17"/>
      <c r="U7" s="17"/>
      <c r="V7" s="17"/>
      <c r="W7" s="17"/>
      <c r="X7" s="17"/>
      <c r="Y7" s="17"/>
      <c r="Z7" s="18">
        <v>0</v>
      </c>
      <c r="AA7" s="17"/>
      <c r="AB7" s="17"/>
      <c r="AC7" s="17"/>
      <c r="AD7" s="17"/>
      <c r="AE7" s="17">
        <v>-30</v>
      </c>
      <c r="AF7" s="17">
        <v>22500</v>
      </c>
      <c r="AG7" s="17">
        <v>22500</v>
      </c>
      <c r="AH7" s="17">
        <v>11.25</v>
      </c>
      <c r="AI7" s="17">
        <v>888</v>
      </c>
      <c r="AJ7" s="17">
        <v>851</v>
      </c>
      <c r="AK7" s="17">
        <v>1739</v>
      </c>
      <c r="AL7" s="17">
        <v>21619</v>
      </c>
      <c r="AM7" s="15"/>
      <c r="AN7" s="17">
        <f>AL7-AM7</f>
        <v>21619</v>
      </c>
    </row>
    <row r="8" spans="1:72" s="19" customFormat="1" ht="22.5" customHeight="1" x14ac:dyDescent="0.3">
      <c r="A8" s="15">
        <v>2</v>
      </c>
      <c r="B8" s="15" t="s">
        <v>53</v>
      </c>
      <c r="C8" s="15" t="s">
        <v>54</v>
      </c>
      <c r="D8" s="15">
        <v>5</v>
      </c>
      <c r="E8" s="16">
        <v>2000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/>
      <c r="N8" s="17"/>
      <c r="O8" s="17"/>
      <c r="P8" s="17"/>
      <c r="Q8" s="17"/>
      <c r="R8" s="49"/>
      <c r="S8" s="17"/>
      <c r="T8" s="17"/>
      <c r="U8" s="17"/>
      <c r="V8" s="17"/>
      <c r="W8" s="17"/>
      <c r="X8" s="17"/>
      <c r="Y8" s="17"/>
      <c r="Z8" s="18">
        <v>0</v>
      </c>
      <c r="AA8" s="17"/>
      <c r="AB8" s="17"/>
      <c r="AC8" s="17"/>
      <c r="AD8" s="17"/>
      <c r="AE8" s="17">
        <v>-5</v>
      </c>
      <c r="AF8" s="17">
        <f t="shared" ref="AF8" si="0">SUM(E8:AE8)</f>
        <v>1995</v>
      </c>
      <c r="AG8" s="17">
        <f t="shared" ref="AG8" si="1">AF8</f>
        <v>1995</v>
      </c>
      <c r="AH8" s="17">
        <v>5</v>
      </c>
      <c r="AI8" s="17">
        <v>180</v>
      </c>
      <c r="AJ8" s="17">
        <v>150</v>
      </c>
      <c r="AK8" s="17">
        <v>330</v>
      </c>
      <c r="AL8" s="17">
        <v>1845</v>
      </c>
      <c r="AM8" s="15"/>
      <c r="AN8" s="17">
        <f t="shared" ref="AN8:AN9" si="2">AL8-AM8</f>
        <v>1845</v>
      </c>
    </row>
    <row r="9" spans="1:72" s="19" customFormat="1" ht="22.5" customHeight="1" x14ac:dyDescent="0.3">
      <c r="A9" s="15">
        <v>3</v>
      </c>
      <c r="B9" s="15" t="s">
        <v>55</v>
      </c>
      <c r="C9" s="15" t="s">
        <v>56</v>
      </c>
      <c r="D9" s="15">
        <v>5</v>
      </c>
      <c r="E9" s="16">
        <v>22500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/>
      <c r="N9" s="17"/>
      <c r="O9" s="17"/>
      <c r="P9" s="17"/>
      <c r="Q9" s="17"/>
      <c r="R9" s="49"/>
      <c r="S9" s="17"/>
      <c r="T9" s="17"/>
      <c r="U9" s="17"/>
      <c r="V9" s="17"/>
      <c r="W9" s="17"/>
      <c r="X9" s="17"/>
      <c r="Y9" s="17"/>
      <c r="Z9" s="18">
        <v>0</v>
      </c>
      <c r="AA9" s="17"/>
      <c r="AB9" s="17"/>
      <c r="AC9" s="17"/>
      <c r="AD9" s="17"/>
      <c r="AE9" s="17">
        <v>-30</v>
      </c>
      <c r="AF9" s="17">
        <v>22500</v>
      </c>
      <c r="AG9" s="17">
        <v>22500</v>
      </c>
      <c r="AH9" s="17">
        <v>11.25</v>
      </c>
      <c r="AI9" s="17">
        <v>888</v>
      </c>
      <c r="AJ9" s="17">
        <v>851</v>
      </c>
      <c r="AK9" s="17">
        <v>1739</v>
      </c>
      <c r="AL9" s="17">
        <v>21619</v>
      </c>
      <c r="AM9" s="15"/>
      <c r="AN9" s="17">
        <f t="shared" si="2"/>
        <v>21619</v>
      </c>
    </row>
    <row r="10" spans="1:72" s="19" customFormat="1" ht="22.5" customHeight="1" x14ac:dyDescent="0.3">
      <c r="A10" s="15">
        <v>4</v>
      </c>
      <c r="B10" s="15" t="s">
        <v>57</v>
      </c>
      <c r="C10" s="15" t="s">
        <v>58</v>
      </c>
      <c r="D10" s="15">
        <v>5</v>
      </c>
      <c r="E10" s="16">
        <v>6900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40</v>
      </c>
      <c r="N10" s="17"/>
      <c r="O10" s="17"/>
      <c r="P10" s="17"/>
      <c r="Q10" s="17"/>
      <c r="R10" s="49">
        <v>500</v>
      </c>
      <c r="S10" s="17"/>
      <c r="T10" s="17"/>
      <c r="U10" s="17"/>
      <c r="V10" s="17"/>
      <c r="W10" s="17"/>
      <c r="X10" s="17"/>
      <c r="Y10" s="17"/>
      <c r="Z10" s="18">
        <v>0</v>
      </c>
      <c r="AA10" s="17"/>
      <c r="AB10" s="17"/>
      <c r="AC10" s="17"/>
      <c r="AD10" s="17">
        <v>-22</v>
      </c>
      <c r="AE10" s="17"/>
      <c r="AF10" s="17">
        <f>SUM(E10:AE10)</f>
        <v>7418</v>
      </c>
      <c r="AG10" s="17">
        <f>AF10</f>
        <v>7418</v>
      </c>
      <c r="AH10" s="17"/>
      <c r="AI10" s="17">
        <v>0</v>
      </c>
      <c r="AJ10" s="17">
        <v>0</v>
      </c>
      <c r="AK10" s="17">
        <v>0</v>
      </c>
      <c r="AL10" s="17">
        <f>AF10</f>
        <v>7418</v>
      </c>
      <c r="AM10" s="15"/>
      <c r="AN10" s="17">
        <f>SUM(AL10-AM10)</f>
        <v>7418</v>
      </c>
    </row>
    <row r="11" spans="1:72" s="19" customFormat="1" ht="22.5" customHeight="1" x14ac:dyDescent="0.3">
      <c r="A11" s="15">
        <v>5</v>
      </c>
      <c r="B11" s="15" t="s">
        <v>59</v>
      </c>
      <c r="C11" s="15" t="s">
        <v>60</v>
      </c>
      <c r="D11" s="15">
        <v>5.5</v>
      </c>
      <c r="E11" s="16">
        <v>4650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6">
        <v>30</v>
      </c>
      <c r="N11" s="17"/>
      <c r="O11" s="17"/>
      <c r="P11" s="17"/>
      <c r="Q11" s="17"/>
      <c r="R11" s="49"/>
      <c r="S11" s="17"/>
      <c r="T11" s="17"/>
      <c r="U11" s="17"/>
      <c r="V11" s="17"/>
      <c r="W11" s="17"/>
      <c r="X11" s="17"/>
      <c r="Y11" s="17"/>
      <c r="Z11" s="18">
        <v>0</v>
      </c>
      <c r="AA11" s="17"/>
      <c r="AB11" s="17"/>
      <c r="AC11" s="17"/>
      <c r="AD11" s="17"/>
      <c r="AE11" s="17"/>
      <c r="AF11" s="17">
        <f t="shared" ref="AF11:AF55" si="3">SUM(E11:AE11)</f>
        <v>4680</v>
      </c>
      <c r="AG11" s="17">
        <f t="shared" ref="AG11:AG54" si="4">AF11</f>
        <v>4680</v>
      </c>
      <c r="AH11" s="17">
        <v>11.11</v>
      </c>
      <c r="AI11" s="17">
        <v>0</v>
      </c>
      <c r="AJ11" s="17">
        <v>0</v>
      </c>
      <c r="AK11" s="17">
        <v>0</v>
      </c>
      <c r="AL11" s="17">
        <f>SUM(E11:AE11)</f>
        <v>4680</v>
      </c>
      <c r="AM11" s="15"/>
      <c r="AN11" s="17">
        <f t="shared" ref="AN11:AN54" si="5">SUM(AL11-AM11)</f>
        <v>4680</v>
      </c>
    </row>
    <row r="12" spans="1:72" s="19" customFormat="1" ht="22.5" customHeight="1" x14ac:dyDescent="0.3">
      <c r="A12" s="15">
        <v>6</v>
      </c>
      <c r="B12" s="15" t="s">
        <v>61</v>
      </c>
      <c r="C12" s="15" t="s">
        <v>62</v>
      </c>
      <c r="D12" s="15">
        <v>5.5</v>
      </c>
      <c r="E12" s="16">
        <v>2300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20</v>
      </c>
      <c r="N12" s="17"/>
      <c r="O12" s="17"/>
      <c r="P12" s="17"/>
      <c r="Q12" s="17"/>
      <c r="R12" s="49"/>
      <c r="S12" s="17"/>
      <c r="T12" s="17"/>
      <c r="U12" s="17"/>
      <c r="V12" s="17"/>
      <c r="W12" s="17"/>
      <c r="X12" s="17"/>
      <c r="Y12" s="17"/>
      <c r="Z12" s="18">
        <v>0</v>
      </c>
      <c r="AA12" s="17"/>
      <c r="AB12" s="17"/>
      <c r="AC12" s="17"/>
      <c r="AD12" s="17"/>
      <c r="AE12" s="17"/>
      <c r="AF12" s="17">
        <f t="shared" si="3"/>
        <v>2320</v>
      </c>
      <c r="AG12" s="17">
        <f t="shared" si="4"/>
        <v>2320</v>
      </c>
      <c r="AH12" s="17">
        <v>5.0599999999999996</v>
      </c>
      <c r="AI12" s="17">
        <v>0</v>
      </c>
      <c r="AJ12" s="17">
        <v>0</v>
      </c>
      <c r="AK12" s="17">
        <v>0</v>
      </c>
      <c r="AL12" s="17">
        <f>SUM(E12:AE12)</f>
        <v>2320</v>
      </c>
      <c r="AM12" s="15"/>
      <c r="AN12" s="17">
        <f t="shared" si="5"/>
        <v>2320</v>
      </c>
    </row>
    <row r="13" spans="1:72" s="19" customFormat="1" ht="22.5" customHeight="1" x14ac:dyDescent="0.3">
      <c r="A13" s="15">
        <v>7</v>
      </c>
      <c r="B13" s="15" t="s">
        <v>63</v>
      </c>
      <c r="C13" s="15" t="s">
        <v>64</v>
      </c>
      <c r="D13" s="15">
        <v>5.5</v>
      </c>
      <c r="E13" s="16">
        <v>2300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30</v>
      </c>
      <c r="N13" s="17">
        <v>100</v>
      </c>
      <c r="O13" s="17"/>
      <c r="P13" s="17">
        <v>100</v>
      </c>
      <c r="Q13" s="17"/>
      <c r="R13" s="49">
        <v>500</v>
      </c>
      <c r="S13" s="17"/>
      <c r="T13" s="17"/>
      <c r="U13" s="17"/>
      <c r="V13" s="17"/>
      <c r="W13" s="17"/>
      <c r="X13" s="17"/>
      <c r="Y13" s="17"/>
      <c r="Z13" s="18">
        <v>0</v>
      </c>
      <c r="AA13" s="17"/>
      <c r="AB13" s="17"/>
      <c r="AC13" s="17"/>
      <c r="AD13" s="17"/>
      <c r="AE13" s="17"/>
      <c r="AF13" s="17">
        <f t="shared" si="3"/>
        <v>3030</v>
      </c>
      <c r="AG13" s="17">
        <f t="shared" si="4"/>
        <v>3030</v>
      </c>
      <c r="AH13" s="17">
        <v>6.62</v>
      </c>
      <c r="AI13" s="17">
        <v>0</v>
      </c>
      <c r="AJ13" s="17">
        <v>0</v>
      </c>
      <c r="AK13" s="17">
        <v>0</v>
      </c>
      <c r="AL13" s="17">
        <f>SUM(E13:AE13)</f>
        <v>3030</v>
      </c>
      <c r="AM13" s="15"/>
      <c r="AN13" s="17">
        <f t="shared" si="5"/>
        <v>3030</v>
      </c>
    </row>
    <row r="14" spans="1:72" s="22" customFormat="1" ht="22.5" customHeight="1" x14ac:dyDescent="0.3">
      <c r="A14" s="15">
        <v>8</v>
      </c>
      <c r="B14" s="20" t="s">
        <v>65</v>
      </c>
      <c r="C14" s="20" t="s">
        <v>66</v>
      </c>
      <c r="D14" s="20">
        <v>5.5</v>
      </c>
      <c r="E14" s="21">
        <v>1900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15</v>
      </c>
      <c r="N14" s="21"/>
      <c r="O14" s="21">
        <v>478.32</v>
      </c>
      <c r="P14" s="21"/>
      <c r="Q14" s="21"/>
      <c r="R14" s="48"/>
      <c r="S14" s="21"/>
      <c r="T14" s="21">
        <v>-512.67999999999995</v>
      </c>
      <c r="U14" s="21"/>
      <c r="V14" s="21"/>
      <c r="W14" s="21"/>
      <c r="X14" s="21"/>
      <c r="Y14" s="21"/>
      <c r="Z14" s="21">
        <v>0</v>
      </c>
      <c r="AA14" s="21"/>
      <c r="AB14" s="21"/>
      <c r="AC14" s="21"/>
      <c r="AD14" s="21"/>
      <c r="AE14" s="21"/>
      <c r="AF14" s="17">
        <f t="shared" si="3"/>
        <v>1880.6400000000003</v>
      </c>
      <c r="AG14" s="17">
        <f t="shared" si="4"/>
        <v>1880.6400000000003</v>
      </c>
      <c r="AH14" s="21">
        <v>5.9</v>
      </c>
      <c r="AI14" s="21">
        <v>0</v>
      </c>
      <c r="AJ14" s="21">
        <v>0</v>
      </c>
      <c r="AK14" s="21">
        <v>0</v>
      </c>
      <c r="AL14" s="21">
        <f>SUM(E14:AE14)</f>
        <v>1880.6400000000003</v>
      </c>
      <c r="AN14" s="17">
        <f t="shared" si="5"/>
        <v>1880.6400000000003</v>
      </c>
      <c r="AO14" s="20" t="s">
        <v>67</v>
      </c>
      <c r="AT14" s="23"/>
    </row>
    <row r="15" spans="1:72" s="19" customFormat="1" ht="22.5" customHeight="1" x14ac:dyDescent="0.3">
      <c r="A15" s="15">
        <v>9</v>
      </c>
      <c r="B15" s="15" t="s">
        <v>68</v>
      </c>
      <c r="C15" s="15" t="s">
        <v>69</v>
      </c>
      <c r="D15" s="15">
        <v>5.5</v>
      </c>
      <c r="E15" s="16">
        <v>3500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30</v>
      </c>
      <c r="N15" s="17"/>
      <c r="O15" s="17"/>
      <c r="P15" s="17"/>
      <c r="Q15" s="17"/>
      <c r="R15" s="49">
        <v>500</v>
      </c>
      <c r="S15" s="17"/>
      <c r="T15" s="17"/>
      <c r="U15" s="17"/>
      <c r="V15" s="17"/>
      <c r="W15" s="17"/>
      <c r="X15" s="17"/>
      <c r="Y15" s="17"/>
      <c r="Z15" s="18">
        <v>0</v>
      </c>
      <c r="AA15" s="17"/>
      <c r="AB15" s="17"/>
      <c r="AC15" s="17"/>
      <c r="AD15" s="17"/>
      <c r="AE15" s="17"/>
      <c r="AF15" s="17">
        <f t="shared" si="3"/>
        <v>4030</v>
      </c>
      <c r="AG15" s="17">
        <f t="shared" si="4"/>
        <v>4030</v>
      </c>
      <c r="AH15" s="17">
        <v>8.83</v>
      </c>
      <c r="AI15" s="17">
        <f>SUM(AF15*AI4)</f>
        <v>685.1</v>
      </c>
      <c r="AJ15" s="17">
        <f>SUM(AF15*AJ4)</f>
        <v>806</v>
      </c>
      <c r="AK15" s="17">
        <f>SUM(AI15:AJ15)</f>
        <v>1491.1</v>
      </c>
      <c r="AL15" s="17">
        <f>SUM(AF15-AJ15)</f>
        <v>3224</v>
      </c>
      <c r="AM15" s="15"/>
      <c r="AN15" s="17">
        <f t="shared" si="5"/>
        <v>3224</v>
      </c>
    </row>
    <row r="16" spans="1:72" s="25" customFormat="1" ht="22.5" customHeight="1" x14ac:dyDescent="0.3">
      <c r="A16" s="15">
        <v>10</v>
      </c>
      <c r="B16" s="24" t="s">
        <v>70</v>
      </c>
      <c r="C16" s="24" t="s">
        <v>71</v>
      </c>
      <c r="D16" s="24">
        <v>5.5</v>
      </c>
      <c r="E16" s="16">
        <v>3500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30</v>
      </c>
      <c r="N16" s="16">
        <v>100</v>
      </c>
      <c r="O16" s="16"/>
      <c r="P16" s="16"/>
      <c r="Q16" s="51"/>
      <c r="R16" s="51">
        <v>1000</v>
      </c>
      <c r="S16" s="16"/>
      <c r="T16" s="16">
        <v>0</v>
      </c>
      <c r="U16" s="16"/>
      <c r="V16" s="16"/>
      <c r="W16" s="16"/>
      <c r="X16" s="16">
        <v>-200</v>
      </c>
      <c r="Y16" s="16">
        <v>0</v>
      </c>
      <c r="Z16" s="16">
        <v>0</v>
      </c>
      <c r="AA16" s="16"/>
      <c r="AB16" s="16"/>
      <c r="AC16" s="16"/>
      <c r="AD16" s="16">
        <v>-15</v>
      </c>
      <c r="AE16" s="16"/>
      <c r="AF16" s="17">
        <f t="shared" si="3"/>
        <v>4415</v>
      </c>
      <c r="AG16" s="17">
        <f t="shared" si="4"/>
        <v>4415</v>
      </c>
      <c r="AH16" s="16">
        <v>7.64</v>
      </c>
      <c r="AI16" s="16">
        <v>0</v>
      </c>
      <c r="AJ16" s="16">
        <v>0</v>
      </c>
      <c r="AK16" s="16">
        <v>0</v>
      </c>
      <c r="AL16" s="17">
        <f t="shared" ref="AL16:AL54" si="6">SUM(AF16-AJ16)</f>
        <v>4415</v>
      </c>
      <c r="AM16" s="24"/>
      <c r="AN16" s="17">
        <f t="shared" si="5"/>
        <v>4415</v>
      </c>
    </row>
    <row r="17" spans="1:41" s="19" customFormat="1" ht="22.5" customHeight="1" x14ac:dyDescent="0.3">
      <c r="A17" s="15">
        <v>11</v>
      </c>
      <c r="B17" s="15" t="s">
        <v>72</v>
      </c>
      <c r="C17" s="15" t="s">
        <v>73</v>
      </c>
      <c r="D17" s="15">
        <v>5.5</v>
      </c>
      <c r="E17" s="16">
        <v>1100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20</v>
      </c>
      <c r="N17" s="17"/>
      <c r="O17" s="17"/>
      <c r="P17" s="17"/>
      <c r="Q17" s="17">
        <v>300</v>
      </c>
      <c r="R17" s="49"/>
      <c r="S17" s="17"/>
      <c r="T17" s="17"/>
      <c r="U17" s="17"/>
      <c r="V17" s="17"/>
      <c r="W17" s="17"/>
      <c r="X17" s="17"/>
      <c r="Y17" s="17"/>
      <c r="Z17" s="18">
        <v>0</v>
      </c>
      <c r="AA17" s="17"/>
      <c r="AB17" s="17"/>
      <c r="AC17" s="17"/>
      <c r="AD17" s="17">
        <v>-4.5</v>
      </c>
      <c r="AE17" s="17"/>
      <c r="AF17" s="17">
        <f t="shared" si="3"/>
        <v>1415.5</v>
      </c>
      <c r="AG17" s="17">
        <f t="shared" si="4"/>
        <v>1415.5</v>
      </c>
      <c r="AH17" s="17">
        <v>2.8</v>
      </c>
      <c r="AI17" s="17">
        <v>0</v>
      </c>
      <c r="AJ17" s="17">
        <v>0</v>
      </c>
      <c r="AK17" s="17">
        <v>0</v>
      </c>
      <c r="AL17" s="17">
        <f t="shared" si="6"/>
        <v>1415.5</v>
      </c>
      <c r="AM17" s="15"/>
      <c r="AN17" s="17">
        <f t="shared" si="5"/>
        <v>1415.5</v>
      </c>
    </row>
    <row r="18" spans="1:41" s="23" customFormat="1" ht="22.5" customHeight="1" x14ac:dyDescent="0.3">
      <c r="A18" s="15">
        <v>12</v>
      </c>
      <c r="B18" s="26" t="s">
        <v>74</v>
      </c>
      <c r="C18" s="26" t="s">
        <v>75</v>
      </c>
      <c r="D18" s="26">
        <v>5.5</v>
      </c>
      <c r="E18" s="27">
        <v>1500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20</v>
      </c>
      <c r="N18" s="28">
        <v>100</v>
      </c>
      <c r="O18" s="28"/>
      <c r="P18" s="28"/>
      <c r="Q18" s="28"/>
      <c r="R18" s="49"/>
      <c r="S18" s="28"/>
      <c r="T18" s="28"/>
      <c r="U18" s="28">
        <v>-300</v>
      </c>
      <c r="V18" s="28"/>
      <c r="W18" s="28">
        <v>-500</v>
      </c>
      <c r="X18" s="28"/>
      <c r="Y18" s="28"/>
      <c r="Z18" s="29">
        <v>0</v>
      </c>
      <c r="AA18" s="28"/>
      <c r="AB18" s="28"/>
      <c r="AC18" s="28"/>
      <c r="AD18" s="28"/>
      <c r="AE18" s="28"/>
      <c r="AF18" s="17">
        <f t="shared" si="3"/>
        <v>820</v>
      </c>
      <c r="AG18" s="17">
        <f t="shared" si="4"/>
        <v>820</v>
      </c>
      <c r="AH18" s="28">
        <v>3.77</v>
      </c>
      <c r="AI18" s="28">
        <v>0</v>
      </c>
      <c r="AJ18" s="28">
        <v>0</v>
      </c>
      <c r="AK18" s="28">
        <v>0</v>
      </c>
      <c r="AL18" s="17">
        <f t="shared" si="6"/>
        <v>820</v>
      </c>
      <c r="AM18" s="26"/>
      <c r="AN18" s="17">
        <f t="shared" si="5"/>
        <v>820</v>
      </c>
    </row>
    <row r="19" spans="1:41" s="19" customFormat="1" ht="22.5" customHeight="1" x14ac:dyDescent="0.3">
      <c r="A19" s="15">
        <v>13</v>
      </c>
      <c r="B19" s="15" t="s">
        <v>76</v>
      </c>
      <c r="C19" s="15" t="s">
        <v>77</v>
      </c>
      <c r="D19" s="15">
        <v>5</v>
      </c>
      <c r="E19" s="16">
        <v>4600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30</v>
      </c>
      <c r="N19" s="17"/>
      <c r="O19" s="17"/>
      <c r="P19" s="17"/>
      <c r="Q19" s="17"/>
      <c r="R19" s="49"/>
      <c r="S19" s="17"/>
      <c r="T19" s="17"/>
      <c r="U19" s="17"/>
      <c r="V19" s="17"/>
      <c r="W19" s="17"/>
      <c r="X19" s="17"/>
      <c r="Y19" s="17"/>
      <c r="Z19" s="18">
        <v>0</v>
      </c>
      <c r="AA19" s="17"/>
      <c r="AB19" s="17"/>
      <c r="AC19" s="17"/>
      <c r="AD19" s="17">
        <v>0</v>
      </c>
      <c r="AE19" s="17">
        <v>-9</v>
      </c>
      <c r="AF19" s="17">
        <f t="shared" si="3"/>
        <v>4621</v>
      </c>
      <c r="AG19" s="17">
        <f t="shared" si="4"/>
        <v>4621</v>
      </c>
      <c r="AH19" s="17">
        <v>11.25</v>
      </c>
      <c r="AI19" s="17">
        <v>556</v>
      </c>
      <c r="AJ19" s="17">
        <v>532</v>
      </c>
      <c r="AK19" s="17">
        <v>1088</v>
      </c>
      <c r="AL19" s="17">
        <f t="shared" si="6"/>
        <v>4089</v>
      </c>
      <c r="AM19" s="15"/>
      <c r="AN19" s="17">
        <f t="shared" si="5"/>
        <v>4089</v>
      </c>
    </row>
    <row r="20" spans="1:41" s="19" customFormat="1" ht="22.5" customHeight="1" x14ac:dyDescent="0.3">
      <c r="A20" s="15">
        <v>14</v>
      </c>
      <c r="B20" s="15" t="s">
        <v>78</v>
      </c>
      <c r="C20" s="15" t="s">
        <v>79</v>
      </c>
      <c r="D20" s="15">
        <v>5</v>
      </c>
      <c r="E20" s="16">
        <v>2000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/>
      <c r="N20" s="17"/>
      <c r="O20" s="17"/>
      <c r="P20" s="17"/>
      <c r="Q20" s="17"/>
      <c r="R20" s="49"/>
      <c r="S20" s="17"/>
      <c r="T20" s="17"/>
      <c r="U20" s="17"/>
      <c r="V20" s="17"/>
      <c r="W20" s="17"/>
      <c r="X20" s="17"/>
      <c r="Y20" s="17"/>
      <c r="Z20" s="18">
        <v>0</v>
      </c>
      <c r="AA20" s="17"/>
      <c r="AB20" s="17"/>
      <c r="AC20" s="17"/>
      <c r="AD20" s="17"/>
      <c r="AE20" s="17">
        <v>-5</v>
      </c>
      <c r="AF20" s="17">
        <f t="shared" si="3"/>
        <v>1995</v>
      </c>
      <c r="AG20" s="17">
        <f t="shared" si="4"/>
        <v>1995</v>
      </c>
      <c r="AH20" s="17">
        <v>5</v>
      </c>
      <c r="AI20" s="17">
        <v>340</v>
      </c>
      <c r="AJ20" s="17">
        <v>400</v>
      </c>
      <c r="AK20" s="17">
        <v>740</v>
      </c>
      <c r="AL20" s="17">
        <f t="shared" si="6"/>
        <v>1595</v>
      </c>
      <c r="AM20" s="15"/>
      <c r="AN20" s="17">
        <f t="shared" si="5"/>
        <v>1595</v>
      </c>
    </row>
    <row r="21" spans="1:41" s="19" customFormat="1" ht="22.5" customHeight="1" x14ac:dyDescent="0.3">
      <c r="A21" s="15">
        <v>15</v>
      </c>
      <c r="B21" s="15" t="s">
        <v>80</v>
      </c>
      <c r="C21" s="15" t="s">
        <v>81</v>
      </c>
      <c r="D21" s="15">
        <v>5.5</v>
      </c>
      <c r="E21" s="16">
        <v>1500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20</v>
      </c>
      <c r="N21" s="17">
        <v>250</v>
      </c>
      <c r="O21" s="17"/>
      <c r="P21" s="17"/>
      <c r="Q21" s="17">
        <v>250</v>
      </c>
      <c r="R21" s="49"/>
      <c r="S21" s="17"/>
      <c r="T21" s="17"/>
      <c r="U21" s="17"/>
      <c r="V21" s="17"/>
      <c r="W21" s="17"/>
      <c r="X21" s="17"/>
      <c r="Y21" s="17"/>
      <c r="Z21" s="18">
        <v>0</v>
      </c>
      <c r="AA21" s="17"/>
      <c r="AB21" s="17"/>
      <c r="AC21" s="17"/>
      <c r="AD21" s="17">
        <v>-4.5</v>
      </c>
      <c r="AE21" s="17"/>
      <c r="AF21" s="17">
        <f t="shared" si="3"/>
        <v>2015.5</v>
      </c>
      <c r="AG21" s="17">
        <f t="shared" si="4"/>
        <v>2015.5</v>
      </c>
      <c r="AH21" s="17">
        <f>AG21*0.0025</f>
        <v>5.0387500000000003</v>
      </c>
      <c r="AI21" s="17">
        <v>0</v>
      </c>
      <c r="AJ21" s="17">
        <v>0</v>
      </c>
      <c r="AK21" s="17">
        <v>0</v>
      </c>
      <c r="AL21" s="17">
        <f t="shared" si="6"/>
        <v>2015.5</v>
      </c>
      <c r="AM21" s="15"/>
      <c r="AN21" s="17"/>
    </row>
    <row r="22" spans="1:41" s="32" customFormat="1" ht="22.5" customHeight="1" x14ac:dyDescent="0.3">
      <c r="A22" s="15">
        <v>16</v>
      </c>
      <c r="B22" s="30" t="s">
        <v>82</v>
      </c>
      <c r="C22" s="30" t="s">
        <v>83</v>
      </c>
      <c r="D22" s="30">
        <v>5.5</v>
      </c>
      <c r="E22" s="31">
        <v>902.22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9.33</v>
      </c>
      <c r="N22" s="31"/>
      <c r="O22" s="31"/>
      <c r="P22" s="31"/>
      <c r="Q22" s="31"/>
      <c r="R22" s="50"/>
      <c r="S22" s="31"/>
      <c r="T22" s="31"/>
      <c r="U22" s="31"/>
      <c r="V22" s="31"/>
      <c r="W22" s="31"/>
      <c r="X22" s="31"/>
      <c r="Y22" s="31"/>
      <c r="Z22" s="31">
        <v>-193.34</v>
      </c>
      <c r="AA22" s="31"/>
      <c r="AB22" s="31"/>
      <c r="AC22" s="31"/>
      <c r="AD22" s="31"/>
      <c r="AE22" s="31"/>
      <c r="AF22" s="17">
        <f t="shared" si="3"/>
        <v>718.21</v>
      </c>
      <c r="AG22" s="17">
        <f t="shared" si="4"/>
        <v>718.21</v>
      </c>
      <c r="AH22" s="31">
        <v>2</v>
      </c>
      <c r="AI22" s="31">
        <v>0</v>
      </c>
      <c r="AJ22" s="31">
        <v>0</v>
      </c>
      <c r="AK22" s="31">
        <v>0</v>
      </c>
      <c r="AL22" s="17">
        <f t="shared" si="6"/>
        <v>718.21</v>
      </c>
      <c r="AN22" s="17">
        <f t="shared" si="5"/>
        <v>718.21</v>
      </c>
      <c r="AO22" s="30" t="s">
        <v>84</v>
      </c>
    </row>
    <row r="23" spans="1:41" s="19" customFormat="1" ht="22.5" customHeight="1" x14ac:dyDescent="0.3">
      <c r="A23" s="15">
        <v>17</v>
      </c>
      <c r="B23" s="15" t="s">
        <v>85</v>
      </c>
      <c r="C23" s="15" t="s">
        <v>86</v>
      </c>
      <c r="D23" s="15">
        <v>5.5</v>
      </c>
      <c r="E23" s="16">
        <v>1600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20</v>
      </c>
      <c r="N23" s="17">
        <v>100</v>
      </c>
      <c r="O23" s="17"/>
      <c r="P23" s="17"/>
      <c r="Q23" s="17"/>
      <c r="R23" s="49">
        <v>300</v>
      </c>
      <c r="S23" s="17"/>
      <c r="T23" s="17"/>
      <c r="U23" s="17"/>
      <c r="V23" s="17"/>
      <c r="W23" s="17"/>
      <c r="X23" s="17"/>
      <c r="Y23" s="17"/>
      <c r="Z23" s="18">
        <v>0</v>
      </c>
      <c r="AA23" s="17"/>
      <c r="AB23" s="17"/>
      <c r="AC23" s="17"/>
      <c r="AD23" s="17"/>
      <c r="AE23" s="17"/>
      <c r="AF23" s="17">
        <f t="shared" si="3"/>
        <v>2020</v>
      </c>
      <c r="AG23" s="17">
        <f t="shared" si="4"/>
        <v>2020</v>
      </c>
      <c r="AH23" s="17">
        <v>4.07</v>
      </c>
      <c r="AI23" s="17">
        <v>0</v>
      </c>
      <c r="AJ23" s="17">
        <v>0</v>
      </c>
      <c r="AK23" s="17">
        <v>0</v>
      </c>
      <c r="AL23" s="17">
        <f t="shared" si="6"/>
        <v>2020</v>
      </c>
      <c r="AM23" s="15"/>
      <c r="AN23" s="17">
        <f t="shared" si="5"/>
        <v>2020</v>
      </c>
    </row>
    <row r="24" spans="1:41" s="19" customFormat="1" ht="22.5" customHeight="1" x14ac:dyDescent="0.3">
      <c r="A24" s="15">
        <v>18</v>
      </c>
      <c r="B24" s="15" t="s">
        <v>87</v>
      </c>
      <c r="C24" s="15" t="s">
        <v>88</v>
      </c>
      <c r="D24" s="15">
        <v>5.5</v>
      </c>
      <c r="E24" s="16">
        <v>1500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20</v>
      </c>
      <c r="N24" s="17"/>
      <c r="O24" s="17"/>
      <c r="P24" s="17"/>
      <c r="Q24" s="17"/>
      <c r="R24" s="49">
        <v>400</v>
      </c>
      <c r="S24" s="17"/>
      <c r="T24" s="17"/>
      <c r="U24" s="17"/>
      <c r="V24" s="17"/>
      <c r="W24" s="17"/>
      <c r="X24" s="17"/>
      <c r="Y24" s="17"/>
      <c r="Z24" s="18">
        <v>0</v>
      </c>
      <c r="AA24" s="17"/>
      <c r="AB24" s="17"/>
      <c r="AC24" s="17"/>
      <c r="AD24" s="17">
        <v>-4.5</v>
      </c>
      <c r="AE24" s="17"/>
      <c r="AF24" s="17">
        <f t="shared" si="3"/>
        <v>1915.5</v>
      </c>
      <c r="AG24" s="17">
        <f t="shared" si="4"/>
        <v>1915.5</v>
      </c>
      <c r="AH24" s="17">
        <v>3.8</v>
      </c>
      <c r="AI24" s="17">
        <v>0</v>
      </c>
      <c r="AJ24" s="17">
        <v>0</v>
      </c>
      <c r="AK24" s="17">
        <v>0</v>
      </c>
      <c r="AL24" s="17">
        <f t="shared" si="6"/>
        <v>1915.5</v>
      </c>
      <c r="AM24" s="15"/>
      <c r="AN24" s="17">
        <f t="shared" si="5"/>
        <v>1915.5</v>
      </c>
    </row>
    <row r="25" spans="1:41" s="19" customFormat="1" ht="22.5" customHeight="1" x14ac:dyDescent="0.3">
      <c r="A25" s="15">
        <v>19</v>
      </c>
      <c r="B25" s="15" t="s">
        <v>89</v>
      </c>
      <c r="C25" s="15" t="s">
        <v>90</v>
      </c>
      <c r="D25" s="15">
        <v>5.5</v>
      </c>
      <c r="E25" s="16">
        <v>2200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20</v>
      </c>
      <c r="N25" s="17"/>
      <c r="O25" s="17"/>
      <c r="P25" s="17"/>
      <c r="Q25" s="17"/>
      <c r="R25" s="49"/>
      <c r="S25" s="17"/>
      <c r="T25" s="17"/>
      <c r="U25" s="17"/>
      <c r="V25" s="17"/>
      <c r="W25" s="17"/>
      <c r="X25" s="17"/>
      <c r="Y25" s="17"/>
      <c r="Z25" s="18">
        <v>0</v>
      </c>
      <c r="AA25" s="17"/>
      <c r="AB25" s="17"/>
      <c r="AC25" s="17"/>
      <c r="AD25" s="17"/>
      <c r="AE25" s="17"/>
      <c r="AF25" s="17">
        <f t="shared" si="3"/>
        <v>2220</v>
      </c>
      <c r="AG25" s="17">
        <f t="shared" si="4"/>
        <v>2220</v>
      </c>
      <c r="AH25" s="17">
        <f>AG25*0.0025</f>
        <v>5.55</v>
      </c>
      <c r="AI25" s="17">
        <v>0</v>
      </c>
      <c r="AJ25" s="17">
        <v>0</v>
      </c>
      <c r="AK25" s="17">
        <v>0</v>
      </c>
      <c r="AL25" s="17">
        <f t="shared" si="6"/>
        <v>2220</v>
      </c>
      <c r="AM25" s="15"/>
      <c r="AN25" s="17">
        <f t="shared" si="5"/>
        <v>2220</v>
      </c>
    </row>
    <row r="26" spans="1:41" s="19" customFormat="1" ht="22.5" customHeight="1" x14ac:dyDescent="0.3">
      <c r="A26" s="15">
        <v>20</v>
      </c>
      <c r="B26" s="33">
        <v>23003</v>
      </c>
      <c r="C26" s="15" t="s">
        <v>147</v>
      </c>
      <c r="D26" s="15">
        <v>5.5</v>
      </c>
      <c r="E26" s="16">
        <v>1200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/>
      <c r="N26" s="17"/>
      <c r="O26" s="17"/>
      <c r="P26" s="17"/>
      <c r="Q26" s="17"/>
      <c r="R26" s="49"/>
      <c r="S26" s="17"/>
      <c r="T26" s="17"/>
      <c r="U26" s="17"/>
      <c r="V26" s="17"/>
      <c r="W26" s="17"/>
      <c r="X26" s="17"/>
      <c r="Y26" s="17"/>
      <c r="Z26" s="18">
        <v>-1200</v>
      </c>
      <c r="AA26" s="17"/>
      <c r="AB26" s="17"/>
      <c r="AC26" s="17"/>
      <c r="AD26" s="17"/>
      <c r="AE26" s="17"/>
      <c r="AF26" s="17">
        <f t="shared" si="3"/>
        <v>0</v>
      </c>
      <c r="AG26" s="17">
        <f t="shared" si="4"/>
        <v>0</v>
      </c>
      <c r="AH26" s="17">
        <v>2</v>
      </c>
      <c r="AI26" s="17">
        <v>0</v>
      </c>
      <c r="AJ26" s="17">
        <v>0</v>
      </c>
      <c r="AK26" s="17">
        <v>0</v>
      </c>
      <c r="AL26" s="17">
        <f t="shared" si="6"/>
        <v>0</v>
      </c>
      <c r="AM26" s="15"/>
      <c r="AN26" s="17">
        <f t="shared" si="5"/>
        <v>0</v>
      </c>
    </row>
    <row r="27" spans="1:41" s="19" customFormat="1" ht="22.5" customHeight="1" x14ac:dyDescent="0.3">
      <c r="A27" s="15">
        <v>21</v>
      </c>
      <c r="B27" s="15" t="s">
        <v>91</v>
      </c>
      <c r="C27" s="15" t="s">
        <v>92</v>
      </c>
      <c r="D27" s="15">
        <v>5.5</v>
      </c>
      <c r="E27" s="16">
        <v>1700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20</v>
      </c>
      <c r="N27" s="17"/>
      <c r="O27" s="17"/>
      <c r="P27" s="17"/>
      <c r="Q27" s="17"/>
      <c r="R27" s="49"/>
      <c r="S27" s="17"/>
      <c r="T27" s="17"/>
      <c r="U27" s="17"/>
      <c r="V27" s="17"/>
      <c r="W27" s="17"/>
      <c r="X27" s="17"/>
      <c r="Y27" s="17">
        <v>-300</v>
      </c>
      <c r="Z27" s="18">
        <v>0</v>
      </c>
      <c r="AA27" s="17"/>
      <c r="AB27" s="17"/>
      <c r="AC27" s="17"/>
      <c r="AD27" s="17"/>
      <c r="AE27" s="17"/>
      <c r="AF27" s="17">
        <f t="shared" si="3"/>
        <v>1420</v>
      </c>
      <c r="AG27" s="17">
        <f t="shared" si="4"/>
        <v>1420</v>
      </c>
      <c r="AH27" s="17">
        <v>4.3</v>
      </c>
      <c r="AI27" s="17">
        <v>0</v>
      </c>
      <c r="AJ27" s="17">
        <v>0</v>
      </c>
      <c r="AK27" s="17">
        <v>0</v>
      </c>
      <c r="AL27" s="17">
        <f t="shared" si="6"/>
        <v>1420</v>
      </c>
      <c r="AM27" s="15"/>
      <c r="AN27" s="17">
        <f t="shared" si="5"/>
        <v>1420</v>
      </c>
    </row>
    <row r="28" spans="1:41" s="19" customFormat="1" ht="22.5" customHeight="1" x14ac:dyDescent="0.3">
      <c r="A28" s="15">
        <v>22</v>
      </c>
      <c r="B28" s="15" t="s">
        <v>93</v>
      </c>
      <c r="C28" s="15" t="s">
        <v>94</v>
      </c>
      <c r="D28" s="15">
        <v>5.5</v>
      </c>
      <c r="E28" s="16">
        <v>1100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20</v>
      </c>
      <c r="N28" s="17"/>
      <c r="O28" s="17"/>
      <c r="P28" s="17"/>
      <c r="Q28" s="17"/>
      <c r="R28" s="49">
        <v>400</v>
      </c>
      <c r="S28" s="17"/>
      <c r="T28" s="17"/>
      <c r="U28" s="17"/>
      <c r="V28" s="17"/>
      <c r="W28" s="17"/>
      <c r="X28" s="17"/>
      <c r="Y28" s="17"/>
      <c r="Z28" s="18">
        <v>0</v>
      </c>
      <c r="AA28" s="17"/>
      <c r="AB28" s="17"/>
      <c r="AC28" s="17"/>
      <c r="AD28" s="17"/>
      <c r="AE28" s="17"/>
      <c r="AF28" s="17">
        <f t="shared" si="3"/>
        <v>1520</v>
      </c>
      <c r="AG28" s="17">
        <f t="shared" si="4"/>
        <v>1520</v>
      </c>
      <c r="AH28" s="17">
        <v>2.8</v>
      </c>
      <c r="AI28" s="17">
        <v>0</v>
      </c>
      <c r="AJ28" s="17">
        <v>0</v>
      </c>
      <c r="AK28" s="17">
        <v>0</v>
      </c>
      <c r="AL28" s="17">
        <f t="shared" si="6"/>
        <v>1520</v>
      </c>
      <c r="AM28" s="15">
        <v>100</v>
      </c>
      <c r="AN28" s="17">
        <f t="shared" si="5"/>
        <v>1420</v>
      </c>
    </row>
    <row r="29" spans="1:41" s="19" customFormat="1" ht="22.5" customHeight="1" x14ac:dyDescent="0.3">
      <c r="A29" s="15">
        <v>23</v>
      </c>
      <c r="B29" s="15" t="s">
        <v>95</v>
      </c>
      <c r="C29" s="15" t="s">
        <v>96</v>
      </c>
      <c r="D29" s="15">
        <v>5.5</v>
      </c>
      <c r="E29" s="16">
        <v>1600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30</v>
      </c>
      <c r="N29" s="17"/>
      <c r="O29" s="17"/>
      <c r="P29" s="17"/>
      <c r="Q29" s="17">
        <v>300</v>
      </c>
      <c r="R29" s="49"/>
      <c r="S29" s="17"/>
      <c r="T29" s="17"/>
      <c r="U29" s="17"/>
      <c r="V29" s="17"/>
      <c r="W29" s="17"/>
      <c r="X29" s="17"/>
      <c r="Y29" s="17"/>
      <c r="Z29" s="18">
        <v>0</v>
      </c>
      <c r="AA29" s="17"/>
      <c r="AB29" s="17"/>
      <c r="AC29" s="17"/>
      <c r="AD29" s="17"/>
      <c r="AE29" s="17"/>
      <c r="AF29" s="17">
        <f t="shared" si="3"/>
        <v>1930</v>
      </c>
      <c r="AG29" s="17">
        <f t="shared" si="4"/>
        <v>1930</v>
      </c>
      <c r="AH29" s="17">
        <v>4.83</v>
      </c>
      <c r="AI29" s="17">
        <v>0</v>
      </c>
      <c r="AJ29" s="17">
        <v>0</v>
      </c>
      <c r="AK29" s="17">
        <v>0</v>
      </c>
      <c r="AL29" s="17">
        <f t="shared" si="6"/>
        <v>1930</v>
      </c>
      <c r="AM29" s="15"/>
      <c r="AN29" s="17">
        <f t="shared" si="5"/>
        <v>1930</v>
      </c>
    </row>
    <row r="30" spans="1:41" s="19" customFormat="1" ht="22.5" customHeight="1" x14ac:dyDescent="0.3">
      <c r="A30" s="15">
        <v>24</v>
      </c>
      <c r="B30" s="15" t="s">
        <v>97</v>
      </c>
      <c r="C30" s="15" t="s">
        <v>98</v>
      </c>
      <c r="D30" s="15">
        <v>5</v>
      </c>
      <c r="E30" s="16">
        <v>4300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30</v>
      </c>
      <c r="N30" s="17"/>
      <c r="O30" s="17"/>
      <c r="P30" s="17"/>
      <c r="Q30" s="17"/>
      <c r="R30" s="49"/>
      <c r="S30" s="17"/>
      <c r="T30" s="17"/>
      <c r="U30" s="17"/>
      <c r="V30" s="17"/>
      <c r="W30" s="17"/>
      <c r="X30" s="17"/>
      <c r="Y30" s="17"/>
      <c r="Z30" s="18">
        <v>0</v>
      </c>
      <c r="AA30" s="17"/>
      <c r="AB30" s="17">
        <v>-1.5</v>
      </c>
      <c r="AC30" s="17"/>
      <c r="AD30" s="17"/>
      <c r="AE30" s="17"/>
      <c r="AF30" s="17">
        <f t="shared" si="3"/>
        <v>4328.5</v>
      </c>
      <c r="AG30" s="17">
        <f t="shared" si="4"/>
        <v>4328.5</v>
      </c>
      <c r="AH30" s="17">
        <v>10.83</v>
      </c>
      <c r="AI30" s="17">
        <v>736</v>
      </c>
      <c r="AJ30" s="17">
        <v>866</v>
      </c>
      <c r="AK30" s="17">
        <v>1602</v>
      </c>
      <c r="AL30" s="17">
        <f t="shared" si="6"/>
        <v>3462.5</v>
      </c>
      <c r="AM30" s="15"/>
      <c r="AN30" s="17">
        <f t="shared" si="5"/>
        <v>3462.5</v>
      </c>
    </row>
    <row r="31" spans="1:41" s="19" customFormat="1" ht="22.5" customHeight="1" x14ac:dyDescent="0.3">
      <c r="A31" s="15">
        <v>25</v>
      </c>
      <c r="B31" s="15" t="s">
        <v>99</v>
      </c>
      <c r="C31" s="15" t="s">
        <v>100</v>
      </c>
      <c r="D31" s="15">
        <v>5.5</v>
      </c>
      <c r="E31" s="16">
        <v>1200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30</v>
      </c>
      <c r="N31" s="17">
        <v>100</v>
      </c>
      <c r="O31" s="17"/>
      <c r="P31" s="17"/>
      <c r="Q31" s="17">
        <v>350</v>
      </c>
      <c r="R31" s="49"/>
      <c r="S31" s="17"/>
      <c r="T31" s="17"/>
      <c r="U31" s="17"/>
      <c r="V31" s="17"/>
      <c r="W31" s="17"/>
      <c r="X31" s="17"/>
      <c r="Y31" s="17"/>
      <c r="Z31" s="18">
        <v>0</v>
      </c>
      <c r="AA31" s="17"/>
      <c r="AB31" s="17"/>
      <c r="AC31" s="17"/>
      <c r="AD31" s="17"/>
      <c r="AE31" s="17"/>
      <c r="AF31" s="17">
        <f t="shared" si="3"/>
        <v>1680</v>
      </c>
      <c r="AG31" s="17">
        <f t="shared" si="4"/>
        <v>1680</v>
      </c>
      <c r="AH31" s="17">
        <v>5.05</v>
      </c>
      <c r="AI31" s="17">
        <v>0</v>
      </c>
      <c r="AJ31" s="17">
        <v>0</v>
      </c>
      <c r="AK31" s="17">
        <v>0</v>
      </c>
      <c r="AL31" s="17">
        <f t="shared" si="6"/>
        <v>1680</v>
      </c>
      <c r="AM31" s="15"/>
      <c r="AN31" s="17">
        <f t="shared" si="5"/>
        <v>1680</v>
      </c>
    </row>
    <row r="32" spans="1:41" s="19" customFormat="1" ht="22.5" customHeight="1" x14ac:dyDescent="0.3">
      <c r="A32" s="15">
        <v>26</v>
      </c>
      <c r="B32" s="15" t="s">
        <v>101</v>
      </c>
      <c r="C32" s="15" t="s">
        <v>102</v>
      </c>
      <c r="D32" s="15">
        <v>5</v>
      </c>
      <c r="E32" s="16">
        <v>2600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/>
      <c r="N32" s="17"/>
      <c r="O32" s="17"/>
      <c r="P32" s="17"/>
      <c r="Q32" s="17"/>
      <c r="R32" s="49"/>
      <c r="S32" s="17"/>
      <c r="T32" s="17"/>
      <c r="U32" s="17"/>
      <c r="V32" s="17"/>
      <c r="W32" s="17"/>
      <c r="X32" s="17"/>
      <c r="Y32" s="17"/>
      <c r="Z32" s="18">
        <v>0</v>
      </c>
      <c r="AA32" s="17"/>
      <c r="AB32" s="17"/>
      <c r="AC32" s="17"/>
      <c r="AD32" s="17"/>
      <c r="AE32" s="17"/>
      <c r="AF32" s="17">
        <f t="shared" si="3"/>
        <v>2600</v>
      </c>
      <c r="AG32" s="17">
        <f t="shared" si="4"/>
        <v>2600</v>
      </c>
      <c r="AH32" s="17">
        <f>AG32*0.0025</f>
        <v>6.5</v>
      </c>
      <c r="AI32" s="17">
        <v>0</v>
      </c>
      <c r="AJ32" s="17">
        <v>0</v>
      </c>
      <c r="AK32" s="17">
        <v>0</v>
      </c>
      <c r="AL32" s="17">
        <f t="shared" si="6"/>
        <v>2600</v>
      </c>
      <c r="AM32" s="15"/>
      <c r="AN32" s="17">
        <f t="shared" si="5"/>
        <v>2600</v>
      </c>
    </row>
    <row r="33" spans="1:40" s="19" customFormat="1" ht="22.5" customHeight="1" x14ac:dyDescent="0.3">
      <c r="A33" s="15">
        <v>27</v>
      </c>
      <c r="B33" s="15" t="s">
        <v>103</v>
      </c>
      <c r="C33" s="15" t="s">
        <v>104</v>
      </c>
      <c r="D33" s="15">
        <v>5.5</v>
      </c>
      <c r="E33" s="16">
        <v>1200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20</v>
      </c>
      <c r="N33" s="17"/>
      <c r="O33" s="17"/>
      <c r="P33" s="17"/>
      <c r="Q33" s="17"/>
      <c r="R33" s="49"/>
      <c r="S33" s="17"/>
      <c r="T33" s="17"/>
      <c r="U33" s="17"/>
      <c r="V33" s="17"/>
      <c r="W33" s="17"/>
      <c r="X33" s="17"/>
      <c r="Y33" s="17"/>
      <c r="Z33" s="18">
        <v>0</v>
      </c>
      <c r="AA33" s="17"/>
      <c r="AB33" s="17"/>
      <c r="AC33" s="17"/>
      <c r="AD33" s="17"/>
      <c r="AE33" s="17"/>
      <c r="AF33" s="17">
        <f t="shared" si="3"/>
        <v>1220</v>
      </c>
      <c r="AG33" s="17">
        <f t="shared" si="4"/>
        <v>1220</v>
      </c>
      <c r="AH33" s="17">
        <v>3.05</v>
      </c>
      <c r="AI33" s="17">
        <v>0</v>
      </c>
      <c r="AJ33" s="17">
        <v>0</v>
      </c>
      <c r="AK33" s="17">
        <v>0</v>
      </c>
      <c r="AL33" s="17">
        <f t="shared" si="6"/>
        <v>1220</v>
      </c>
      <c r="AM33" s="15"/>
      <c r="AN33" s="17">
        <f t="shared" si="5"/>
        <v>1220</v>
      </c>
    </row>
    <row r="34" spans="1:40" s="35" customFormat="1" ht="22.5" customHeight="1" x14ac:dyDescent="0.3">
      <c r="A34" s="15">
        <v>28</v>
      </c>
      <c r="B34" s="34" t="s">
        <v>105</v>
      </c>
      <c r="C34" s="34" t="s">
        <v>106</v>
      </c>
      <c r="D34" s="34">
        <v>5</v>
      </c>
      <c r="E34" s="27">
        <v>3300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30</v>
      </c>
      <c r="N34" s="27"/>
      <c r="O34" s="27">
        <v>0</v>
      </c>
      <c r="P34" s="27"/>
      <c r="Q34" s="27"/>
      <c r="R34" s="51"/>
      <c r="S34" s="27"/>
      <c r="T34" s="27"/>
      <c r="U34" s="27"/>
      <c r="V34" s="27"/>
      <c r="W34" s="27"/>
      <c r="X34" s="27"/>
      <c r="Y34" s="27"/>
      <c r="Z34" s="27">
        <v>-2145</v>
      </c>
      <c r="AA34" s="27"/>
      <c r="AB34" s="27"/>
      <c r="AC34" s="27"/>
      <c r="AD34" s="27"/>
      <c r="AE34" s="27"/>
      <c r="AF34" s="17">
        <f t="shared" si="3"/>
        <v>1185</v>
      </c>
      <c r="AG34" s="17">
        <f t="shared" si="4"/>
        <v>1185</v>
      </c>
      <c r="AH34" s="27">
        <v>2</v>
      </c>
      <c r="AI34" s="27">
        <v>0</v>
      </c>
      <c r="AJ34" s="27">
        <v>0</v>
      </c>
      <c r="AK34" s="27">
        <v>0</v>
      </c>
      <c r="AL34" s="17">
        <f t="shared" si="6"/>
        <v>1185</v>
      </c>
      <c r="AM34" s="34"/>
      <c r="AN34" s="17">
        <f t="shared" si="5"/>
        <v>1185</v>
      </c>
    </row>
    <row r="35" spans="1:40" s="19" customFormat="1" ht="22.5" customHeight="1" x14ac:dyDescent="0.3">
      <c r="A35" s="15">
        <v>29</v>
      </c>
      <c r="B35" s="15" t="s">
        <v>107</v>
      </c>
      <c r="C35" s="15" t="s">
        <v>108</v>
      </c>
      <c r="D35" s="15">
        <v>5</v>
      </c>
      <c r="E35" s="16">
        <v>4550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40</v>
      </c>
      <c r="N35" s="17"/>
      <c r="O35" s="17"/>
      <c r="P35" s="17"/>
      <c r="Q35" s="17"/>
      <c r="R35" s="49"/>
      <c r="S35" s="17"/>
      <c r="T35" s="17"/>
      <c r="U35" s="17"/>
      <c r="V35" s="17"/>
      <c r="W35" s="17"/>
      <c r="X35" s="17"/>
      <c r="Y35" s="17"/>
      <c r="Z35" s="18">
        <v>0</v>
      </c>
      <c r="AA35" s="17"/>
      <c r="AB35" s="17"/>
      <c r="AC35" s="17"/>
      <c r="AD35" s="17"/>
      <c r="AE35" s="17"/>
      <c r="AF35" s="17">
        <f t="shared" si="3"/>
        <v>4590</v>
      </c>
      <c r="AG35" s="17">
        <f t="shared" si="4"/>
        <v>4590</v>
      </c>
      <c r="AH35" s="17">
        <v>11.25</v>
      </c>
      <c r="AI35" s="17">
        <v>0</v>
      </c>
      <c r="AJ35" s="17">
        <v>0</v>
      </c>
      <c r="AK35" s="17">
        <v>0</v>
      </c>
      <c r="AL35" s="17">
        <f t="shared" si="6"/>
        <v>4590</v>
      </c>
      <c r="AM35" s="15"/>
      <c r="AN35" s="17">
        <f t="shared" si="5"/>
        <v>4590</v>
      </c>
    </row>
    <row r="36" spans="1:40" s="19" customFormat="1" ht="22.5" customHeight="1" x14ac:dyDescent="0.3">
      <c r="A36" s="15">
        <v>30</v>
      </c>
      <c r="B36" s="15" t="s">
        <v>109</v>
      </c>
      <c r="C36" s="15" t="s">
        <v>110</v>
      </c>
      <c r="D36" s="15">
        <v>5.5</v>
      </c>
      <c r="E36" s="16">
        <v>1800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20</v>
      </c>
      <c r="N36" s="17"/>
      <c r="O36" s="17"/>
      <c r="P36" s="17"/>
      <c r="Q36" s="17"/>
      <c r="R36" s="49"/>
      <c r="S36" s="17"/>
      <c r="T36" s="17"/>
      <c r="U36" s="17"/>
      <c r="V36" s="17"/>
      <c r="W36" s="17"/>
      <c r="X36" s="17"/>
      <c r="Y36" s="17"/>
      <c r="Z36" s="18">
        <v>0</v>
      </c>
      <c r="AA36" s="17"/>
      <c r="AB36" s="17"/>
      <c r="AC36" s="17"/>
      <c r="AD36" s="17"/>
      <c r="AE36" s="17"/>
      <c r="AF36" s="17">
        <f t="shared" si="3"/>
        <v>1820</v>
      </c>
      <c r="AG36" s="17">
        <f t="shared" si="4"/>
        <v>1820</v>
      </c>
      <c r="AH36" s="17">
        <f>AG36*0.0025</f>
        <v>4.55</v>
      </c>
      <c r="AI36" s="17">
        <v>0</v>
      </c>
      <c r="AJ36" s="17">
        <v>0</v>
      </c>
      <c r="AK36" s="17">
        <v>0</v>
      </c>
      <c r="AL36" s="17">
        <f t="shared" si="6"/>
        <v>1820</v>
      </c>
      <c r="AM36" s="15">
        <v>500</v>
      </c>
      <c r="AN36" s="17">
        <f t="shared" si="5"/>
        <v>1320</v>
      </c>
    </row>
    <row r="37" spans="1:40" s="19" customFormat="1" ht="22.5" customHeight="1" x14ac:dyDescent="0.3">
      <c r="A37" s="15">
        <v>31</v>
      </c>
      <c r="B37" s="15" t="s">
        <v>111</v>
      </c>
      <c r="C37" s="15" t="s">
        <v>112</v>
      </c>
      <c r="D37" s="15">
        <v>5.5</v>
      </c>
      <c r="E37" s="16">
        <v>1000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20</v>
      </c>
      <c r="N37" s="17"/>
      <c r="O37" s="17"/>
      <c r="P37" s="17"/>
      <c r="Q37" s="17"/>
      <c r="R37" s="49"/>
      <c r="S37" s="17"/>
      <c r="T37" s="17"/>
      <c r="U37" s="17"/>
      <c r="V37" s="17"/>
      <c r="W37" s="17"/>
      <c r="X37" s="17"/>
      <c r="Y37" s="17"/>
      <c r="Z37" s="18">
        <v>0</v>
      </c>
      <c r="AA37" s="17"/>
      <c r="AB37" s="17"/>
      <c r="AC37" s="17"/>
      <c r="AD37" s="17">
        <v>-4.5</v>
      </c>
      <c r="AE37" s="17"/>
      <c r="AF37" s="17">
        <f t="shared" si="3"/>
        <v>1015.5</v>
      </c>
      <c r="AG37" s="17">
        <f t="shared" si="4"/>
        <v>1015.5</v>
      </c>
      <c r="AH37" s="17">
        <v>2.5499999999999998</v>
      </c>
      <c r="AI37" s="17">
        <v>0</v>
      </c>
      <c r="AJ37" s="17">
        <v>0</v>
      </c>
      <c r="AK37" s="17">
        <v>0</v>
      </c>
      <c r="AL37" s="17">
        <f t="shared" si="6"/>
        <v>1015.5</v>
      </c>
      <c r="AM37" s="15"/>
      <c r="AN37" s="17">
        <f t="shared" si="5"/>
        <v>1015.5</v>
      </c>
    </row>
    <row r="38" spans="1:40" s="19" customFormat="1" ht="22.5" customHeight="1" x14ac:dyDescent="0.3">
      <c r="A38" s="15">
        <v>32</v>
      </c>
      <c r="B38" s="15" t="s">
        <v>113</v>
      </c>
      <c r="C38" s="15" t="s">
        <v>114</v>
      </c>
      <c r="D38" s="15">
        <v>5.5</v>
      </c>
      <c r="E38" s="16">
        <v>1000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20</v>
      </c>
      <c r="N38" s="17"/>
      <c r="O38" s="17"/>
      <c r="P38" s="17"/>
      <c r="Q38" s="17">
        <v>300</v>
      </c>
      <c r="R38" s="49"/>
      <c r="S38" s="17"/>
      <c r="T38" s="17"/>
      <c r="U38" s="17"/>
      <c r="V38" s="17"/>
      <c r="W38" s="17"/>
      <c r="X38" s="17"/>
      <c r="Y38" s="17"/>
      <c r="Z38" s="18">
        <v>0</v>
      </c>
      <c r="AA38" s="17"/>
      <c r="AB38" s="17"/>
      <c r="AC38" s="17"/>
      <c r="AD38" s="17">
        <v>-4.5</v>
      </c>
      <c r="AE38" s="17"/>
      <c r="AF38" s="17">
        <f t="shared" si="3"/>
        <v>1315.5</v>
      </c>
      <c r="AG38" s="17">
        <f t="shared" si="4"/>
        <v>1315.5</v>
      </c>
      <c r="AH38" s="17">
        <f t="shared" ref="AH38:AH39" si="7">AG38*0.0025</f>
        <v>3.2887500000000003</v>
      </c>
      <c r="AI38" s="17">
        <v>0</v>
      </c>
      <c r="AJ38" s="17">
        <v>0</v>
      </c>
      <c r="AK38" s="17">
        <v>0</v>
      </c>
      <c r="AL38" s="17">
        <f t="shared" si="6"/>
        <v>1315.5</v>
      </c>
      <c r="AM38" s="15"/>
      <c r="AN38" s="17">
        <f t="shared" si="5"/>
        <v>1315.5</v>
      </c>
    </row>
    <row r="39" spans="1:40" s="19" customFormat="1" ht="22.5" customHeight="1" x14ac:dyDescent="0.3">
      <c r="A39" s="15">
        <v>33</v>
      </c>
      <c r="B39" s="15" t="s">
        <v>115</v>
      </c>
      <c r="C39" s="15" t="s">
        <v>116</v>
      </c>
      <c r="D39" s="15">
        <v>5.5</v>
      </c>
      <c r="E39" s="16">
        <v>2200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30</v>
      </c>
      <c r="N39" s="17"/>
      <c r="O39" s="17"/>
      <c r="P39" s="17"/>
      <c r="Q39" s="17"/>
      <c r="R39" s="49"/>
      <c r="S39" s="17"/>
      <c r="T39" s="17"/>
      <c r="U39" s="17"/>
      <c r="V39" s="17"/>
      <c r="W39" s="17"/>
      <c r="X39" s="17"/>
      <c r="Y39" s="17"/>
      <c r="Z39" s="18">
        <v>0</v>
      </c>
      <c r="AA39" s="17"/>
      <c r="AB39" s="17"/>
      <c r="AC39" s="17"/>
      <c r="AD39" s="17">
        <v>-6.5</v>
      </c>
      <c r="AE39" s="17"/>
      <c r="AF39" s="17">
        <f t="shared" si="3"/>
        <v>2223.5</v>
      </c>
      <c r="AG39" s="17">
        <f t="shared" si="4"/>
        <v>2223.5</v>
      </c>
      <c r="AH39" s="17">
        <f t="shared" si="7"/>
        <v>5.5587499999999999</v>
      </c>
      <c r="AI39" s="17">
        <v>0</v>
      </c>
      <c r="AJ39" s="17">
        <v>0</v>
      </c>
      <c r="AK39" s="17">
        <v>0</v>
      </c>
      <c r="AL39" s="17">
        <f t="shared" si="6"/>
        <v>2223.5</v>
      </c>
      <c r="AM39" s="15"/>
      <c r="AN39" s="17">
        <f t="shared" si="5"/>
        <v>2223.5</v>
      </c>
    </row>
    <row r="40" spans="1:40" s="38" customFormat="1" ht="22.5" customHeight="1" x14ac:dyDescent="0.3">
      <c r="A40" s="15">
        <v>34</v>
      </c>
      <c r="B40" s="36" t="s">
        <v>117</v>
      </c>
      <c r="C40" s="36" t="s">
        <v>118</v>
      </c>
      <c r="D40" s="36">
        <v>5.5</v>
      </c>
      <c r="E40" s="37">
        <v>920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15</v>
      </c>
      <c r="N40" s="37"/>
      <c r="O40" s="37">
        <v>0</v>
      </c>
      <c r="P40" s="37"/>
      <c r="Q40" s="37">
        <v>255.56</v>
      </c>
      <c r="R40" s="52"/>
      <c r="S40" s="37"/>
      <c r="T40" s="37"/>
      <c r="U40" s="37"/>
      <c r="V40" s="37"/>
      <c r="W40" s="37"/>
      <c r="X40" s="37"/>
      <c r="Y40" s="37"/>
      <c r="Z40" s="37">
        <v>0</v>
      </c>
      <c r="AA40" s="37"/>
      <c r="AB40" s="37"/>
      <c r="AC40" s="37"/>
      <c r="AD40" s="37"/>
      <c r="AE40" s="37"/>
      <c r="AF40" s="17">
        <f t="shared" si="3"/>
        <v>1190.56</v>
      </c>
      <c r="AG40" s="17">
        <f t="shared" si="4"/>
        <v>1190.56</v>
      </c>
      <c r="AH40" s="37">
        <v>2</v>
      </c>
      <c r="AI40" s="37">
        <v>0</v>
      </c>
      <c r="AJ40" s="37">
        <v>0</v>
      </c>
      <c r="AK40" s="37">
        <v>0</v>
      </c>
      <c r="AL40" s="17">
        <f t="shared" si="6"/>
        <v>1190.56</v>
      </c>
      <c r="AM40" s="36"/>
      <c r="AN40" s="17">
        <f t="shared" si="5"/>
        <v>1190.56</v>
      </c>
    </row>
    <row r="41" spans="1:40" s="19" customFormat="1" ht="22.5" customHeight="1" x14ac:dyDescent="0.3">
      <c r="A41" s="15">
        <v>35</v>
      </c>
      <c r="B41" s="15" t="s">
        <v>119</v>
      </c>
      <c r="C41" s="15" t="s">
        <v>120</v>
      </c>
      <c r="D41" s="15">
        <v>5.5</v>
      </c>
      <c r="E41" s="16">
        <v>1200</v>
      </c>
      <c r="F41" s="16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20</v>
      </c>
      <c r="N41" s="17"/>
      <c r="O41" s="17"/>
      <c r="P41" s="17"/>
      <c r="Q41" s="17"/>
      <c r="R41" s="49"/>
      <c r="S41" s="17"/>
      <c r="T41" s="17"/>
      <c r="U41" s="17"/>
      <c r="V41" s="17"/>
      <c r="W41" s="17"/>
      <c r="X41" s="17"/>
      <c r="Y41" s="17"/>
      <c r="Z41" s="18">
        <v>0</v>
      </c>
      <c r="AA41" s="17"/>
      <c r="AB41" s="17"/>
      <c r="AC41" s="17"/>
      <c r="AD41" s="17"/>
      <c r="AE41" s="17"/>
      <c r="AF41" s="17">
        <f t="shared" si="3"/>
        <v>1220</v>
      </c>
      <c r="AG41" s="17">
        <f t="shared" si="4"/>
        <v>1220</v>
      </c>
      <c r="AH41" s="17">
        <f>AG41*0.0025</f>
        <v>3.0500000000000003</v>
      </c>
      <c r="AI41" s="17">
        <v>0</v>
      </c>
      <c r="AJ41" s="17">
        <v>0</v>
      </c>
      <c r="AK41" s="17">
        <v>0</v>
      </c>
      <c r="AL41" s="17">
        <f t="shared" si="6"/>
        <v>1220</v>
      </c>
      <c r="AM41" s="15"/>
      <c r="AN41" s="17">
        <f t="shared" si="5"/>
        <v>1220</v>
      </c>
    </row>
    <row r="42" spans="1:40" s="19" customFormat="1" ht="22.5" customHeight="1" x14ac:dyDescent="0.3">
      <c r="A42" s="15">
        <v>36</v>
      </c>
      <c r="B42" s="15" t="s">
        <v>121</v>
      </c>
      <c r="C42" s="15" t="s">
        <v>122</v>
      </c>
      <c r="D42" s="15">
        <v>5</v>
      </c>
      <c r="E42" s="16">
        <v>4000</v>
      </c>
      <c r="F42" s="16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40</v>
      </c>
      <c r="N42" s="17"/>
      <c r="O42" s="17"/>
      <c r="P42" s="17"/>
      <c r="Q42" s="17"/>
      <c r="R42" s="49"/>
      <c r="S42" s="17"/>
      <c r="T42" s="17"/>
      <c r="U42" s="17"/>
      <c r="V42" s="17"/>
      <c r="W42" s="17"/>
      <c r="X42" s="17"/>
      <c r="Y42" s="17"/>
      <c r="Z42" s="18">
        <v>0</v>
      </c>
      <c r="AA42" s="17"/>
      <c r="AB42" s="17"/>
      <c r="AC42" s="17"/>
      <c r="AD42" s="17"/>
      <c r="AE42" s="17">
        <v>-7</v>
      </c>
      <c r="AF42" s="17">
        <f t="shared" si="3"/>
        <v>4033</v>
      </c>
      <c r="AG42" s="17">
        <f t="shared" si="4"/>
        <v>4033</v>
      </c>
      <c r="AH42" s="17">
        <v>10.1</v>
      </c>
      <c r="AI42" s="17">
        <v>485</v>
      </c>
      <c r="AJ42" s="17">
        <v>464</v>
      </c>
      <c r="AK42" s="17">
        <v>949</v>
      </c>
      <c r="AL42" s="17">
        <f t="shared" si="6"/>
        <v>3569</v>
      </c>
      <c r="AM42" s="15"/>
      <c r="AN42" s="17">
        <f t="shared" si="5"/>
        <v>3569</v>
      </c>
    </row>
    <row r="43" spans="1:40" s="19" customFormat="1" ht="22.5" customHeight="1" x14ac:dyDescent="0.3">
      <c r="A43" s="15">
        <v>37</v>
      </c>
      <c r="B43" s="15" t="s">
        <v>123</v>
      </c>
      <c r="C43" s="15" t="s">
        <v>124</v>
      </c>
      <c r="D43" s="15">
        <v>5.5</v>
      </c>
      <c r="E43" s="16">
        <v>1100</v>
      </c>
      <c r="F43" s="16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20</v>
      </c>
      <c r="N43" s="17"/>
      <c r="O43" s="17"/>
      <c r="P43" s="17"/>
      <c r="Q43" s="17"/>
      <c r="R43" s="49"/>
      <c r="S43" s="17"/>
      <c r="T43" s="17"/>
      <c r="U43" s="17"/>
      <c r="V43" s="17"/>
      <c r="W43" s="17"/>
      <c r="X43" s="17"/>
      <c r="Y43" s="17"/>
      <c r="Z43" s="18">
        <v>0</v>
      </c>
      <c r="AA43" s="17"/>
      <c r="AB43" s="17"/>
      <c r="AC43" s="17"/>
      <c r="AD43" s="17"/>
      <c r="AE43" s="17"/>
      <c r="AF43" s="17">
        <f t="shared" si="3"/>
        <v>1120</v>
      </c>
      <c r="AG43" s="17">
        <f t="shared" si="4"/>
        <v>1120</v>
      </c>
      <c r="AH43" s="17">
        <v>2.8</v>
      </c>
      <c r="AI43" s="17">
        <v>0</v>
      </c>
      <c r="AJ43" s="17">
        <v>0</v>
      </c>
      <c r="AK43" s="17">
        <v>0</v>
      </c>
      <c r="AL43" s="17">
        <f t="shared" si="6"/>
        <v>1120</v>
      </c>
      <c r="AM43" s="15"/>
      <c r="AN43" s="17">
        <f t="shared" si="5"/>
        <v>1120</v>
      </c>
    </row>
    <row r="44" spans="1:40" s="19" customFormat="1" ht="22.5" customHeight="1" x14ac:dyDescent="0.3">
      <c r="A44" s="15">
        <v>38</v>
      </c>
      <c r="B44" s="15" t="s">
        <v>125</v>
      </c>
      <c r="C44" s="15" t="s">
        <v>126</v>
      </c>
      <c r="D44" s="15">
        <v>5.5</v>
      </c>
      <c r="E44" s="16">
        <v>1100</v>
      </c>
      <c r="F44" s="16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/>
      <c r="N44" s="17"/>
      <c r="O44" s="17"/>
      <c r="P44" s="17"/>
      <c r="Q44" s="17">
        <v>900</v>
      </c>
      <c r="R44" s="49"/>
      <c r="S44" s="17"/>
      <c r="T44" s="17"/>
      <c r="U44" s="17"/>
      <c r="V44" s="17"/>
      <c r="W44" s="17"/>
      <c r="X44" s="17"/>
      <c r="Y44" s="17"/>
      <c r="Z44" s="18">
        <v>0</v>
      </c>
      <c r="AA44" s="17"/>
      <c r="AB44" s="17"/>
      <c r="AC44" s="17"/>
      <c r="AD44" s="17">
        <v>-3</v>
      </c>
      <c r="AE44" s="17"/>
      <c r="AF44" s="17">
        <f t="shared" si="3"/>
        <v>1997</v>
      </c>
      <c r="AG44" s="17">
        <f t="shared" si="4"/>
        <v>1997</v>
      </c>
      <c r="AH44" s="17">
        <f>AG44*0.0025</f>
        <v>4.9924999999999997</v>
      </c>
      <c r="AI44" s="17">
        <v>0</v>
      </c>
      <c r="AJ44" s="17">
        <v>0</v>
      </c>
      <c r="AK44" s="17">
        <v>0</v>
      </c>
      <c r="AL44" s="17">
        <f t="shared" si="6"/>
        <v>1997</v>
      </c>
      <c r="AM44" s="15"/>
      <c r="AN44" s="17">
        <f t="shared" si="5"/>
        <v>1997</v>
      </c>
    </row>
    <row r="45" spans="1:40" s="19" customFormat="1" ht="22.5" customHeight="1" x14ac:dyDescent="0.3">
      <c r="A45" s="15">
        <v>39</v>
      </c>
      <c r="B45" s="15" t="s">
        <v>127</v>
      </c>
      <c r="C45" s="15" t="s">
        <v>128</v>
      </c>
      <c r="D45" s="15">
        <v>5.5</v>
      </c>
      <c r="E45" s="16">
        <v>1100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20</v>
      </c>
      <c r="N45" s="17">
        <v>100</v>
      </c>
      <c r="O45" s="17"/>
      <c r="P45" s="17"/>
      <c r="Q45" s="17"/>
      <c r="R45" s="49"/>
      <c r="S45" s="17"/>
      <c r="T45" s="17"/>
      <c r="U45" s="17"/>
      <c r="V45" s="17"/>
      <c r="W45" s="17"/>
      <c r="X45" s="17"/>
      <c r="Y45" s="17"/>
      <c r="Z45" s="18">
        <v>0</v>
      </c>
      <c r="AA45" s="17"/>
      <c r="AB45" s="17"/>
      <c r="AC45" s="17"/>
      <c r="AD45" s="17"/>
      <c r="AE45" s="17"/>
      <c r="AF45" s="17">
        <f t="shared" si="3"/>
        <v>1220</v>
      </c>
      <c r="AG45" s="17">
        <f t="shared" si="4"/>
        <v>1220</v>
      </c>
      <c r="AH45" s="17">
        <f t="shared" ref="AH45:AH49" si="8">AG45*0.0025</f>
        <v>3.0500000000000003</v>
      </c>
      <c r="AI45" s="17">
        <v>0</v>
      </c>
      <c r="AJ45" s="17">
        <v>0</v>
      </c>
      <c r="AK45" s="17">
        <v>0</v>
      </c>
      <c r="AL45" s="17">
        <f t="shared" si="6"/>
        <v>1220</v>
      </c>
      <c r="AM45" s="15"/>
      <c r="AN45" s="17">
        <f t="shared" si="5"/>
        <v>1220</v>
      </c>
    </row>
    <row r="46" spans="1:40" s="19" customFormat="1" ht="22.5" customHeight="1" x14ac:dyDescent="0.3">
      <c r="A46" s="15">
        <v>40</v>
      </c>
      <c r="B46" s="15" t="s">
        <v>129</v>
      </c>
      <c r="C46" s="15" t="s">
        <v>130</v>
      </c>
      <c r="D46" s="15">
        <v>5.5</v>
      </c>
      <c r="E46" s="16">
        <v>4000</v>
      </c>
      <c r="F46" s="16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30</v>
      </c>
      <c r="N46" s="17"/>
      <c r="O46" s="17"/>
      <c r="P46" s="17"/>
      <c r="Q46" s="17"/>
      <c r="R46" s="49"/>
      <c r="S46" s="17">
        <v>-400</v>
      </c>
      <c r="T46" s="17"/>
      <c r="U46" s="17"/>
      <c r="V46" s="17"/>
      <c r="W46" s="17"/>
      <c r="X46" s="17"/>
      <c r="Y46" s="17"/>
      <c r="Z46" s="18">
        <v>0</v>
      </c>
      <c r="AA46" s="17"/>
      <c r="AB46" s="17"/>
      <c r="AC46" s="17"/>
      <c r="AD46" s="17"/>
      <c r="AE46" s="17"/>
      <c r="AF46" s="17">
        <f t="shared" si="3"/>
        <v>3630</v>
      </c>
      <c r="AG46" s="17">
        <f t="shared" si="4"/>
        <v>3630</v>
      </c>
      <c r="AH46" s="17">
        <f t="shared" si="8"/>
        <v>9.0750000000000011</v>
      </c>
      <c r="AI46" s="17">
        <v>0</v>
      </c>
      <c r="AJ46" s="17">
        <v>0</v>
      </c>
      <c r="AK46" s="17">
        <v>0</v>
      </c>
      <c r="AL46" s="17">
        <f t="shared" si="6"/>
        <v>3630</v>
      </c>
      <c r="AM46" s="15"/>
      <c r="AN46" s="17">
        <f t="shared" si="5"/>
        <v>3630</v>
      </c>
    </row>
    <row r="47" spans="1:40" s="19" customFormat="1" ht="22.5" customHeight="1" x14ac:dyDescent="0.3">
      <c r="A47" s="15">
        <v>41</v>
      </c>
      <c r="B47" s="15" t="s">
        <v>131</v>
      </c>
      <c r="C47" s="15" t="s">
        <v>132</v>
      </c>
      <c r="D47" s="15">
        <v>5</v>
      </c>
      <c r="E47" s="16">
        <v>10500</v>
      </c>
      <c r="F47" s="16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/>
      <c r="N47" s="17"/>
      <c r="O47" s="17"/>
      <c r="P47" s="17"/>
      <c r="Q47" s="17"/>
      <c r="R47" s="49"/>
      <c r="S47" s="17"/>
      <c r="T47" s="17"/>
      <c r="U47" s="17"/>
      <c r="V47" s="17"/>
      <c r="W47" s="17"/>
      <c r="X47" s="17"/>
      <c r="Y47" s="17"/>
      <c r="Z47" s="18">
        <v>0</v>
      </c>
      <c r="AA47" s="17"/>
      <c r="AB47" s="17"/>
      <c r="AC47" s="17"/>
      <c r="AD47" s="17"/>
      <c r="AE47" s="17">
        <v>-18</v>
      </c>
      <c r="AF47" s="17">
        <f t="shared" si="3"/>
        <v>10482</v>
      </c>
      <c r="AG47" s="17">
        <f t="shared" si="4"/>
        <v>10482</v>
      </c>
      <c r="AH47" s="17">
        <f t="shared" si="8"/>
        <v>26.205000000000002</v>
      </c>
      <c r="AI47" s="17">
        <v>0</v>
      </c>
      <c r="AJ47" s="17">
        <v>0</v>
      </c>
      <c r="AK47" s="17">
        <v>0</v>
      </c>
      <c r="AL47" s="17">
        <f t="shared" si="6"/>
        <v>10482</v>
      </c>
      <c r="AM47" s="15"/>
      <c r="AN47" s="17"/>
    </row>
    <row r="48" spans="1:40" s="19" customFormat="1" ht="22.5" customHeight="1" x14ac:dyDescent="0.3">
      <c r="A48" s="15">
        <v>42</v>
      </c>
      <c r="B48" s="15" t="s">
        <v>133</v>
      </c>
      <c r="C48" s="15" t="s">
        <v>134</v>
      </c>
      <c r="D48" s="15">
        <v>5</v>
      </c>
      <c r="E48" s="16">
        <v>5500</v>
      </c>
      <c r="F48" s="16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40</v>
      </c>
      <c r="N48" s="17"/>
      <c r="O48" s="17"/>
      <c r="P48" s="17"/>
      <c r="Q48" s="17"/>
      <c r="R48" s="49"/>
      <c r="S48" s="17"/>
      <c r="T48" s="17"/>
      <c r="U48" s="17"/>
      <c r="V48" s="17"/>
      <c r="W48" s="17"/>
      <c r="X48" s="17"/>
      <c r="Y48" s="17"/>
      <c r="Z48" s="18">
        <v>0</v>
      </c>
      <c r="AA48" s="17"/>
      <c r="AB48" s="17"/>
      <c r="AC48" s="17"/>
      <c r="AD48" s="17"/>
      <c r="AE48" s="17"/>
      <c r="AF48" s="17">
        <f t="shared" si="3"/>
        <v>5540</v>
      </c>
      <c r="AG48" s="17">
        <f t="shared" si="4"/>
        <v>5540</v>
      </c>
      <c r="AH48" s="17">
        <f t="shared" si="8"/>
        <v>13.85</v>
      </c>
      <c r="AI48" s="17">
        <v>0</v>
      </c>
      <c r="AJ48" s="17">
        <v>0</v>
      </c>
      <c r="AK48" s="17">
        <v>0</v>
      </c>
      <c r="AL48" s="17">
        <f t="shared" si="6"/>
        <v>5540</v>
      </c>
      <c r="AM48" s="15"/>
      <c r="AN48" s="17">
        <f t="shared" si="5"/>
        <v>5540</v>
      </c>
    </row>
    <row r="49" spans="1:72" s="23" customFormat="1" ht="22.5" customHeight="1" x14ac:dyDescent="0.3">
      <c r="A49" s="15">
        <v>43</v>
      </c>
      <c r="B49" s="26" t="s">
        <v>135</v>
      </c>
      <c r="C49" s="26" t="s">
        <v>136</v>
      </c>
      <c r="D49" s="26">
        <v>5</v>
      </c>
      <c r="E49" s="27">
        <v>8500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/>
      <c r="N49" s="28"/>
      <c r="O49" s="28"/>
      <c r="P49" s="28"/>
      <c r="Q49" s="28"/>
      <c r="R49" s="49"/>
      <c r="S49" s="28"/>
      <c r="T49" s="28"/>
      <c r="U49" s="28"/>
      <c r="V49" s="28"/>
      <c r="W49" s="28"/>
      <c r="X49" s="28"/>
      <c r="Y49" s="28"/>
      <c r="Z49" s="29">
        <v>0</v>
      </c>
      <c r="AA49" s="28"/>
      <c r="AB49" s="28"/>
      <c r="AC49" s="28"/>
      <c r="AD49" s="28"/>
      <c r="AE49" s="28"/>
      <c r="AF49" s="17">
        <f t="shared" si="3"/>
        <v>8500</v>
      </c>
      <c r="AG49" s="17">
        <f t="shared" si="4"/>
        <v>8500</v>
      </c>
      <c r="AH49" s="28">
        <f t="shared" si="8"/>
        <v>21.25</v>
      </c>
      <c r="AI49" s="28">
        <v>0</v>
      </c>
      <c r="AJ49" s="28">
        <v>0</v>
      </c>
      <c r="AK49" s="28">
        <v>0</v>
      </c>
      <c r="AL49" s="17">
        <f t="shared" si="6"/>
        <v>8500</v>
      </c>
      <c r="AM49" s="26"/>
      <c r="AN49" s="17">
        <f t="shared" si="5"/>
        <v>8500</v>
      </c>
    </row>
    <row r="50" spans="1:72" s="19" customFormat="1" ht="22.5" customHeight="1" x14ac:dyDescent="0.3">
      <c r="A50" s="15">
        <v>44</v>
      </c>
      <c r="B50" s="15" t="s">
        <v>137</v>
      </c>
      <c r="C50" s="15" t="s">
        <v>138</v>
      </c>
      <c r="D50" s="15">
        <v>5.5</v>
      </c>
      <c r="E50" s="16">
        <v>3000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30</v>
      </c>
      <c r="N50" s="17"/>
      <c r="O50" s="17"/>
      <c r="P50" s="17"/>
      <c r="Q50" s="17"/>
      <c r="R50" s="49"/>
      <c r="S50" s="17"/>
      <c r="T50" s="17"/>
      <c r="U50" s="17"/>
      <c r="V50" s="17"/>
      <c r="W50" s="17"/>
      <c r="X50" s="17"/>
      <c r="Y50" s="17"/>
      <c r="Z50" s="18">
        <v>-1060.5</v>
      </c>
      <c r="AA50" s="17"/>
      <c r="AB50" s="17"/>
      <c r="AC50" s="17"/>
      <c r="AD50" s="17"/>
      <c r="AE50" s="17"/>
      <c r="AF50" s="17">
        <f t="shared" si="3"/>
        <v>1969.5</v>
      </c>
      <c r="AG50" s="17">
        <f t="shared" si="4"/>
        <v>1969.5</v>
      </c>
      <c r="AH50" s="17">
        <v>7.58</v>
      </c>
      <c r="AI50" s="17">
        <v>515</v>
      </c>
      <c r="AJ50" s="17">
        <v>606</v>
      </c>
      <c r="AK50" s="17">
        <v>1121</v>
      </c>
      <c r="AL50" s="17">
        <f>SUM(AG50-AJ50)</f>
        <v>1363.5</v>
      </c>
      <c r="AM50" s="15"/>
      <c r="AN50" s="17">
        <f t="shared" si="5"/>
        <v>1363.5</v>
      </c>
    </row>
    <row r="51" spans="1:72" s="19" customFormat="1" ht="22.5" customHeight="1" x14ac:dyDescent="0.3">
      <c r="A51" s="15">
        <v>45</v>
      </c>
      <c r="B51" s="15" t="s">
        <v>139</v>
      </c>
      <c r="C51" s="15" t="s">
        <v>140</v>
      </c>
      <c r="D51" s="15">
        <v>5.5</v>
      </c>
      <c r="E51" s="16">
        <v>1200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20</v>
      </c>
      <c r="N51" s="17"/>
      <c r="O51" s="17"/>
      <c r="P51" s="17"/>
      <c r="Q51" s="17"/>
      <c r="R51" s="49"/>
      <c r="S51" s="17"/>
      <c r="T51" s="17"/>
      <c r="U51" s="17"/>
      <c r="V51" s="17"/>
      <c r="W51" s="17"/>
      <c r="X51" s="17"/>
      <c r="Y51" s="17"/>
      <c r="Z51" s="18">
        <v>0</v>
      </c>
      <c r="AA51" s="17"/>
      <c r="AB51" s="17"/>
      <c r="AC51" s="17"/>
      <c r="AD51" s="17"/>
      <c r="AE51" s="17"/>
      <c r="AF51" s="17">
        <f t="shared" si="3"/>
        <v>1220</v>
      </c>
      <c r="AG51" s="17">
        <f t="shared" si="4"/>
        <v>1220</v>
      </c>
      <c r="AH51" s="17">
        <f>AG51*0.0025</f>
        <v>3.0500000000000003</v>
      </c>
      <c r="AI51" s="17">
        <v>0</v>
      </c>
      <c r="AJ51" s="17">
        <v>0</v>
      </c>
      <c r="AK51" s="17">
        <v>0</v>
      </c>
      <c r="AL51" s="17">
        <f t="shared" si="6"/>
        <v>1220</v>
      </c>
      <c r="AM51" s="15"/>
      <c r="AN51" s="17">
        <f t="shared" si="5"/>
        <v>1220</v>
      </c>
    </row>
    <row r="52" spans="1:72" s="19" customFormat="1" ht="22.5" customHeight="1" x14ac:dyDescent="0.3">
      <c r="A52" s="15">
        <v>46</v>
      </c>
      <c r="B52" s="15" t="s">
        <v>141</v>
      </c>
      <c r="C52" s="15" t="s">
        <v>142</v>
      </c>
      <c r="D52" s="15">
        <v>5.5</v>
      </c>
      <c r="E52" s="16">
        <v>1200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/>
      <c r="N52" s="17">
        <v>100</v>
      </c>
      <c r="O52" s="17"/>
      <c r="P52" s="17"/>
      <c r="Q52" s="17">
        <v>300</v>
      </c>
      <c r="R52" s="49"/>
      <c r="S52" s="17"/>
      <c r="T52" s="17"/>
      <c r="U52" s="17"/>
      <c r="V52" s="17"/>
      <c r="W52" s="17"/>
      <c r="X52" s="17"/>
      <c r="Y52" s="17"/>
      <c r="Z52" s="18">
        <v>0</v>
      </c>
      <c r="AA52" s="17"/>
      <c r="AB52" s="17"/>
      <c r="AC52" s="17"/>
      <c r="AD52" s="17">
        <v>-4.5</v>
      </c>
      <c r="AE52" s="17"/>
      <c r="AF52" s="17">
        <f t="shared" si="3"/>
        <v>1595.5</v>
      </c>
      <c r="AG52" s="17">
        <f t="shared" si="4"/>
        <v>1595.5</v>
      </c>
      <c r="AH52" s="17">
        <f>AG52*0.0025</f>
        <v>3.98875</v>
      </c>
      <c r="AI52" s="17">
        <v>0</v>
      </c>
      <c r="AJ52" s="17">
        <v>0</v>
      </c>
      <c r="AK52" s="17">
        <v>0</v>
      </c>
      <c r="AL52" s="17">
        <f t="shared" si="6"/>
        <v>1595.5</v>
      </c>
      <c r="AM52" s="15"/>
      <c r="AN52" s="17">
        <f t="shared" si="5"/>
        <v>1595.5</v>
      </c>
    </row>
    <row r="53" spans="1:72" s="19" customFormat="1" ht="22.5" customHeight="1" x14ac:dyDescent="0.3">
      <c r="A53" s="15">
        <v>47</v>
      </c>
      <c r="B53" s="15" t="s">
        <v>143</v>
      </c>
      <c r="C53" s="15" t="s">
        <v>144</v>
      </c>
      <c r="D53" s="15">
        <v>5</v>
      </c>
      <c r="E53" s="16">
        <v>4600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/>
      <c r="N53" s="17"/>
      <c r="O53" s="17"/>
      <c r="P53" s="17"/>
      <c r="Q53" s="17"/>
      <c r="R53" s="49"/>
      <c r="S53" s="17"/>
      <c r="T53" s="17"/>
      <c r="U53" s="17"/>
      <c r="V53" s="17"/>
      <c r="W53" s="17"/>
      <c r="X53" s="17"/>
      <c r="Y53" s="17"/>
      <c r="Z53" s="18">
        <v>0</v>
      </c>
      <c r="AA53" s="17"/>
      <c r="AB53" s="17"/>
      <c r="AC53" s="17"/>
      <c r="AD53" s="17"/>
      <c r="AE53" s="17"/>
      <c r="AF53" s="17">
        <f t="shared" si="3"/>
        <v>4600</v>
      </c>
      <c r="AG53" s="17">
        <f t="shared" si="4"/>
        <v>4600</v>
      </c>
      <c r="AH53" s="17">
        <f>AG53*0.0025</f>
        <v>11.5</v>
      </c>
      <c r="AI53" s="17">
        <v>0</v>
      </c>
      <c r="AJ53" s="17">
        <v>0</v>
      </c>
      <c r="AK53" s="17">
        <v>0</v>
      </c>
      <c r="AL53" s="17">
        <f t="shared" si="6"/>
        <v>4600</v>
      </c>
      <c r="AM53" s="15"/>
      <c r="AN53" s="17"/>
    </row>
    <row r="54" spans="1:72" s="19" customFormat="1" ht="22.5" customHeight="1" x14ac:dyDescent="0.3">
      <c r="A54" s="15">
        <v>48</v>
      </c>
      <c r="B54" s="33">
        <v>25020</v>
      </c>
      <c r="C54" s="15" t="s">
        <v>145</v>
      </c>
      <c r="D54" s="15">
        <v>5</v>
      </c>
      <c r="E54" s="16">
        <v>4350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/>
      <c r="N54" s="17"/>
      <c r="O54" s="17"/>
      <c r="P54" s="17"/>
      <c r="Q54" s="17"/>
      <c r="R54" s="49"/>
      <c r="S54" s="17"/>
      <c r="T54" s="17"/>
      <c r="U54" s="17"/>
      <c r="V54" s="17"/>
      <c r="W54" s="17"/>
      <c r="X54" s="17"/>
      <c r="Y54" s="17"/>
      <c r="Z54" s="18">
        <v>0</v>
      </c>
      <c r="AA54" s="17"/>
      <c r="AB54" s="17"/>
      <c r="AC54" s="17"/>
      <c r="AD54" s="17"/>
      <c r="AE54" s="17"/>
      <c r="AF54" s="17">
        <f t="shared" si="3"/>
        <v>4350</v>
      </c>
      <c r="AG54" s="17">
        <f t="shared" si="4"/>
        <v>4350</v>
      </c>
      <c r="AH54" s="17">
        <f>AG54*0.0025</f>
        <v>10.875</v>
      </c>
      <c r="AI54" s="17">
        <v>0</v>
      </c>
      <c r="AJ54" s="17">
        <v>0</v>
      </c>
      <c r="AK54" s="17">
        <v>0</v>
      </c>
      <c r="AL54" s="17">
        <f t="shared" si="6"/>
        <v>4350</v>
      </c>
      <c r="AM54" s="15"/>
      <c r="AN54" s="17">
        <f t="shared" si="5"/>
        <v>4350</v>
      </c>
    </row>
    <row r="55" spans="1:72" s="19" customFormat="1" ht="22.5" customHeight="1" x14ac:dyDescent="0.3">
      <c r="A55" s="15">
        <v>49</v>
      </c>
      <c r="B55" s="15"/>
      <c r="C55" s="15" t="s">
        <v>152</v>
      </c>
      <c r="D55" s="15"/>
      <c r="E55" s="16">
        <v>8500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49"/>
      <c r="S55" s="17"/>
      <c r="T55" s="17"/>
      <c r="U55" s="17"/>
      <c r="V55" s="17"/>
      <c r="W55" s="17"/>
      <c r="X55" s="17"/>
      <c r="Y55" s="17"/>
      <c r="Z55" s="18"/>
      <c r="AA55" s="17"/>
      <c r="AB55" s="17"/>
      <c r="AC55" s="17"/>
      <c r="AD55" s="17"/>
      <c r="AE55" s="17">
        <v>-12</v>
      </c>
      <c r="AF55" s="17">
        <f t="shared" ref="AF55" si="9">SUM(E55:AE55)</f>
        <v>8488</v>
      </c>
      <c r="AG55" s="17">
        <f t="shared" ref="AG55" si="10">AF55</f>
        <v>8488</v>
      </c>
      <c r="AH55" s="17">
        <f>AG55*0.0025</f>
        <v>21.22</v>
      </c>
      <c r="AI55" s="17">
        <v>1258</v>
      </c>
      <c r="AJ55" s="17">
        <v>1480</v>
      </c>
      <c r="AK55" s="17">
        <f>SUM(AI55+AJ55)</f>
        <v>2738</v>
      </c>
      <c r="AL55" s="17">
        <f t="shared" ref="AL55" si="11">SUM(AF55-AJ55)</f>
        <v>7008</v>
      </c>
      <c r="AM55" s="15"/>
      <c r="AN55" s="17">
        <f t="shared" ref="AN55" si="12">SUM(AL55-AM55)</f>
        <v>7008</v>
      </c>
    </row>
    <row r="56" spans="1:72" s="45" customFormat="1" ht="22.5" customHeight="1" x14ac:dyDescent="0.25">
      <c r="A56" s="42"/>
      <c r="B56" s="42" t="s">
        <v>146</v>
      </c>
      <c r="C56" s="42"/>
      <c r="D56" s="42"/>
      <c r="E56" s="43">
        <f>SUM(E7:E55)</f>
        <v>178472.22</v>
      </c>
      <c r="F56" s="43">
        <f t="shared" ref="F56:AM56" si="13">SUM(F7:F54)</f>
        <v>0</v>
      </c>
      <c r="G56" s="43">
        <f t="shared" si="13"/>
        <v>0</v>
      </c>
      <c r="H56" s="43">
        <f t="shared" si="13"/>
        <v>0</v>
      </c>
      <c r="I56" s="43">
        <f t="shared" si="13"/>
        <v>0</v>
      </c>
      <c r="J56" s="43">
        <f t="shared" si="13"/>
        <v>0</v>
      </c>
      <c r="K56" s="43">
        <f t="shared" si="13"/>
        <v>0</v>
      </c>
      <c r="L56" s="43">
        <f t="shared" si="13"/>
        <v>0</v>
      </c>
      <c r="M56" s="43">
        <f t="shared" si="13"/>
        <v>899.32999999999993</v>
      </c>
      <c r="N56" s="43">
        <f t="shared" si="13"/>
        <v>950</v>
      </c>
      <c r="O56" s="43">
        <f t="shared" si="13"/>
        <v>478.32</v>
      </c>
      <c r="P56" s="43">
        <f t="shared" si="13"/>
        <v>100</v>
      </c>
      <c r="Q56" s="43">
        <f t="shared" si="13"/>
        <v>2955.56</v>
      </c>
      <c r="R56" s="55">
        <f>SUM(R7:R55)</f>
        <v>3600</v>
      </c>
      <c r="S56" s="43">
        <f t="shared" si="13"/>
        <v>-400</v>
      </c>
      <c r="T56" s="43">
        <f t="shared" si="13"/>
        <v>-512.67999999999995</v>
      </c>
      <c r="U56" s="43">
        <f t="shared" si="13"/>
        <v>-300</v>
      </c>
      <c r="V56" s="43">
        <f t="shared" si="13"/>
        <v>0</v>
      </c>
      <c r="W56" s="43">
        <f t="shared" si="13"/>
        <v>-500</v>
      </c>
      <c r="X56" s="43">
        <f t="shared" si="13"/>
        <v>-200</v>
      </c>
      <c r="Y56" s="43">
        <f t="shared" si="13"/>
        <v>-300</v>
      </c>
      <c r="Z56" s="43">
        <f t="shared" si="13"/>
        <v>-4598.84</v>
      </c>
      <c r="AA56" s="43">
        <f t="shared" si="13"/>
        <v>0</v>
      </c>
      <c r="AB56" s="43">
        <f t="shared" si="13"/>
        <v>-1.5</v>
      </c>
      <c r="AC56" s="43">
        <f t="shared" si="13"/>
        <v>0</v>
      </c>
      <c r="AD56" s="43">
        <f t="shared" si="13"/>
        <v>-73.5</v>
      </c>
      <c r="AE56" s="43">
        <f t="shared" si="13"/>
        <v>-104</v>
      </c>
      <c r="AF56" s="43">
        <f t="shared" si="13"/>
        <v>172024.91</v>
      </c>
      <c r="AG56" s="43">
        <f t="shared" si="13"/>
        <v>172024.91</v>
      </c>
      <c r="AH56" s="43">
        <f t="shared" si="13"/>
        <v>317.86250000000007</v>
      </c>
      <c r="AI56" s="43">
        <f t="shared" si="13"/>
        <v>5273.1</v>
      </c>
      <c r="AJ56" s="43">
        <f t="shared" si="13"/>
        <v>5526</v>
      </c>
      <c r="AK56" s="43">
        <f t="shared" si="13"/>
        <v>10799.1</v>
      </c>
      <c r="AL56" s="43">
        <f t="shared" si="13"/>
        <v>166438.91</v>
      </c>
      <c r="AM56" s="43">
        <f t="shared" si="13"/>
        <v>600</v>
      </c>
      <c r="AN56" s="43">
        <f>SUM(AN7:AN55)</f>
        <v>155749.41</v>
      </c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</row>
  </sheetData>
  <mergeCells count="10">
    <mergeCell ref="AI5:AK5"/>
    <mergeCell ref="A1:AL1"/>
    <mergeCell ref="Q4:W4"/>
    <mergeCell ref="X4:Y4"/>
    <mergeCell ref="Z4:AE4"/>
    <mergeCell ref="F5:J5"/>
    <mergeCell ref="M5:N5"/>
    <mergeCell ref="O5:P5"/>
    <mergeCell ref="S5:Y5"/>
    <mergeCell ref="Z5:AE5"/>
  </mergeCells>
  <pageMargins left="0.25" right="0.25" top="0.75" bottom="0.75" header="0.3" footer="0.3"/>
  <pageSetup paperSize="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AP@3si</dc:creator>
  <cp:lastModifiedBy>Rebekah SR</cp:lastModifiedBy>
  <cp:lastPrinted>2025-12-15T09:00:22Z</cp:lastPrinted>
  <dcterms:created xsi:type="dcterms:W3CDTF">2025-12-10T10:00:26Z</dcterms:created>
  <dcterms:modified xsi:type="dcterms:W3CDTF">2025-12-15T10:36:49Z</dcterms:modified>
</cp:coreProperties>
</file>