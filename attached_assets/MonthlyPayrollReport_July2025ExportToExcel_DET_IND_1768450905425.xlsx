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<sst xmlns="http://schemas.openxmlformats.org/spreadsheetml/2006/main" count="699" uniqueCount="299">
  <si>
    <t>Pay Period :</t>
  </si>
  <si>
    <t>END,MID,BONUS Month - JUL '2025</t>
  </si>
  <si>
    <t>Company Name :</t>
  </si>
  <si>
    <t>3SI PTE. LTD.</t>
  </si>
  <si>
    <t>No</t>
  </si>
  <si>
    <t>EMP CODE</t>
  </si>
  <si>
    <t>EMPLOYEE NAME</t>
  </si>
  <si>
    <t>DEPT CODE</t>
  </si>
  <si>
    <t>DEPT NAME</t>
  </si>
  <si>
    <t>SEC CODE</t>
  </si>
  <si>
    <t>SEC NAME</t>
  </si>
  <si>
    <t>CAT CODE</t>
  </si>
  <si>
    <t>CAT NAME</t>
  </si>
  <si>
    <t>NRIC</t>
  </si>
  <si>
    <t>JOIN DATE</t>
  </si>
  <si>
    <t>TOT SALARY</t>
  </si>
  <si>
    <t>FLAT</t>
  </si>
  <si>
    <t>OT10</t>
  </si>
  <si>
    <t>OT15</t>
  </si>
  <si>
    <t>OT20</t>
  </si>
  <si>
    <t>OT30</t>
  </si>
  <si>
    <t>OT AMOUNT</t>
  </si>
  <si>
    <t>SHIFT ALLOWANCE</t>
  </si>
  <si>
    <t>TOT REST/PH AMOUNT</t>
  </si>
  <si>
    <t>GROSS ADDITIONS</t>
  </si>
  <si>
    <t>ALLOWANCE WITH CPF ( ORDINARY )</t>
  </si>
  <si>
    <t>ADDITION</t>
  </si>
  <si>
    <t>TRANSPORT ALLOWANCE (60-111)</t>
  </si>
  <si>
    <t>ALLOWANCE WITH CPF ( ADDITIONAL )</t>
  </si>
  <si>
    <t>ANNUAL LEAVE ENCASHMENT</t>
  </si>
  <si>
    <t>SERVICE CALL ALLOWANCES (60-102)</t>
  </si>
  <si>
    <t>ALLOWANCE WITH OUT CPF</t>
  </si>
  <si>
    <t>NOTICE-IN-LIEU - 2 WEEKS</t>
  </si>
  <si>
    <t>OTHER ALLOWANCE</t>
  </si>
  <si>
    <t>DEDUCTION</t>
  </si>
  <si>
    <t>CASH ADVANCE</t>
  </si>
  <si>
    <t>counterfeit App - Deduction</t>
  </si>
  <si>
    <t>HOUSE RENTAL ALLOWANCES (60-217)</t>
  </si>
  <si>
    <t>LOAN - 2/11 (BAL OUTSTANDING $3,300)</t>
  </si>
  <si>
    <t>LOAN REPAYMENT (26-100) - 1ST LOAN(9/10)</t>
  </si>
  <si>
    <t>Project Cost Petty Cash</t>
  </si>
  <si>
    <t>TAX CLEARANCE - IR21</t>
  </si>
  <si>
    <t>NO PAY DAY</t>
  </si>
  <si>
    <t>FUNDS</t>
  </si>
  <si>
    <t>CC</t>
  </si>
  <si>
    <t>CDAC</t>
  </si>
  <si>
    <t>ECF</t>
  </si>
  <si>
    <t>MBMF</t>
  </si>
  <si>
    <t>SINDA</t>
  </si>
  <si>
    <t>GROSS DEDUCTIONS WITH OUT CPF</t>
  </si>
  <si>
    <t>BONUS</t>
  </si>
  <si>
    <t>GROSS WAGES</t>
  </si>
  <si>
    <t>CPF WAGES</t>
  </si>
  <si>
    <t>SDF</t>
  </si>
  <si>
    <t>FWL</t>
  </si>
  <si>
    <t>CPF CONTRIBUTION</t>
  </si>
  <si>
    <t>EMPLOYER CPF</t>
  </si>
  <si>
    <t>EMPLOYEE CPF</t>
  </si>
  <si>
    <t>TOTAL</t>
  </si>
  <si>
    <t>NETT</t>
  </si>
  <si>
    <t>Pay Mode</t>
  </si>
  <si>
    <t>Cheque No</t>
  </si>
  <si>
    <t>PAY COMPONENT</t>
  </si>
  <si>
    <t>BASIC SALARY</t>
  </si>
  <si>
    <t>MONTHLY VARIABLES COMPONENT</t>
  </si>
  <si>
    <t>06001</t>
  </si>
  <si>
    <t>RAMADAS JAYARAM GOVINDASAMY</t>
  </si>
  <si>
    <t>MGMT</t>
  </si>
  <si>
    <t>SENIOR MANAGEMENT</t>
  </si>
  <si>
    <t>SIN</t>
  </si>
  <si>
    <t>SINGAPOREAN</t>
  </si>
  <si>
    <t>A1</t>
  </si>
  <si>
    <t>A1 - DIRECTORS, SHAREHOLDERS</t>
  </si>
  <si>
    <t>S1485384G</t>
  </si>
  <si>
    <t>BANK DISK</t>
  </si>
  <si>
    <t>06002</t>
  </si>
  <si>
    <t>MANICKAN JAMUNA RANI</t>
  </si>
  <si>
    <t>S1415749B</t>
  </si>
  <si>
    <t>06003</t>
  </si>
  <si>
    <t>YUGUMARAN R</t>
  </si>
  <si>
    <t>S1538084E</t>
  </si>
  <si>
    <t>14001</t>
  </si>
  <si>
    <t>MOSTAFIZUR RAHMAN</t>
  </si>
  <si>
    <t>PRJ</t>
  </si>
  <si>
    <t>PROJECT</t>
  </si>
  <si>
    <t>FOREIG</t>
  </si>
  <si>
    <t>FOREIGN</t>
  </si>
  <si>
    <t>A2</t>
  </si>
  <si>
    <t>A2 - MANAGERS, HEADS OF DEPARTMENT</t>
  </si>
  <si>
    <t>F8205893K</t>
  </si>
  <si>
    <t>15001</t>
  </si>
  <si>
    <t>VELLAIKKANNU VADIVELU</t>
  </si>
  <si>
    <t>B1</t>
  </si>
  <si>
    <t>B1 - ALL ENGINEERS</t>
  </si>
  <si>
    <t>F8156721L</t>
  </si>
  <si>
    <t>16002</t>
  </si>
  <si>
    <t>PERUMAL GOVINDARASU</t>
  </si>
  <si>
    <t>OPE</t>
  </si>
  <si>
    <t>OPERATION / MAINTENANCE &amp; SERVICES</t>
  </si>
  <si>
    <t>C1</t>
  </si>
  <si>
    <t>C1 - TECHNICIANS, ELECTRICIANS, SUPERVISORS</t>
  </si>
  <si>
    <t>G7735599K</t>
  </si>
  <si>
    <t>16003</t>
  </si>
  <si>
    <t>LAU SWEN YUEN NORMAN</t>
  </si>
  <si>
    <t>S7724322D</t>
  </si>
  <si>
    <t>17001</t>
  </si>
  <si>
    <t>MALAIKKOLUNDHU KUMARAVEL</t>
  </si>
  <si>
    <t>G2431208P</t>
  </si>
  <si>
    <t>17002</t>
  </si>
  <si>
    <t>JAYAGOWRI GIRIDHARAN</t>
  </si>
  <si>
    <t>FIN</t>
  </si>
  <si>
    <t>FINANCE</t>
  </si>
  <si>
    <t>SINPR</t>
  </si>
  <si>
    <t>SINGAPORE PR</t>
  </si>
  <si>
    <t>S6965265D</t>
  </si>
  <si>
    <t>17003</t>
  </si>
  <si>
    <t>RAJENDRAN DINESHVAIRAPATHI</t>
  </si>
  <si>
    <t>G3421975W</t>
  </si>
  <si>
    <t>17004</t>
  </si>
  <si>
    <t>VISHNU PRAVIN S/O R RAMAYA</t>
  </si>
  <si>
    <t>SYST</t>
  </si>
  <si>
    <t>SYSTEM</t>
  </si>
  <si>
    <t>S9108646H</t>
  </si>
  <si>
    <t>18001</t>
  </si>
  <si>
    <t>THIBAN RAMADAS</t>
  </si>
  <si>
    <t>S8611739H</t>
  </si>
  <si>
    <t>18003</t>
  </si>
  <si>
    <t>SUJAN AHMED</t>
  </si>
  <si>
    <t>B2</t>
  </si>
  <si>
    <t>B2 - OFFICE STAFF (STATION IN OFFICE)</t>
  </si>
  <si>
    <t>G8122013T</t>
  </si>
  <si>
    <t>20001</t>
  </si>
  <si>
    <t>WANG XUMING</t>
  </si>
  <si>
    <t>S8661395F</t>
  </si>
  <si>
    <t>21001</t>
  </si>
  <si>
    <t>HAQ AMINUL</t>
  </si>
  <si>
    <t>G8464511M</t>
  </si>
  <si>
    <t>21002</t>
  </si>
  <si>
    <t>KHAN MD HASIB</t>
  </si>
  <si>
    <t>G8868445T</t>
  </si>
  <si>
    <t>21003</t>
  </si>
  <si>
    <t>SEENUVASAN RATHINAKUMAR</t>
  </si>
  <si>
    <t>G7670588M</t>
  </si>
  <si>
    <t>21004</t>
  </si>
  <si>
    <t>GOVINDARAJU ANBALAGAN</t>
  </si>
  <si>
    <t>DSN</t>
  </si>
  <si>
    <t>DESIGN</t>
  </si>
  <si>
    <t>S2653281G</t>
  </si>
  <si>
    <t>21005</t>
  </si>
  <si>
    <t>JUSTINDRAN Y</t>
  </si>
  <si>
    <t>AUD</t>
  </si>
  <si>
    <t>AUDIT</t>
  </si>
  <si>
    <t>S9324515F</t>
  </si>
  <si>
    <t>22002</t>
  </si>
  <si>
    <t>MIAH RASEL</t>
  </si>
  <si>
    <t>G7967893M</t>
  </si>
  <si>
    <t>22003</t>
  </si>
  <si>
    <t>DEVENDIRAN SARAVANAKUMAR</t>
  </si>
  <si>
    <t>M3063421N</t>
  </si>
  <si>
    <t>22004</t>
  </si>
  <si>
    <t>SAMIGOVINDHAN VIJAYAKUMAR</t>
  </si>
  <si>
    <t>G8917642K</t>
  </si>
  <si>
    <t>22005</t>
  </si>
  <si>
    <t>HARIKRISHNAN VANAN</t>
  </si>
  <si>
    <t>G2430561P</t>
  </si>
  <si>
    <t>22006</t>
  </si>
  <si>
    <t>MOHAMMAD BILLAL</t>
  </si>
  <si>
    <t>G2227840T</t>
  </si>
  <si>
    <t>22009</t>
  </si>
  <si>
    <t>KARUNAKARAN PERIYASAMY</t>
  </si>
  <si>
    <t>G8114161X</t>
  </si>
  <si>
    <t>23003</t>
  </si>
  <si>
    <t>SELVARAJ SATHIYASEELAN</t>
  </si>
  <si>
    <t>M3218029Q</t>
  </si>
  <si>
    <t>23004</t>
  </si>
  <si>
    <t>KANNAN SURYAPRAKASH</t>
  </si>
  <si>
    <t>M3200589J</t>
  </si>
  <si>
    <t>23005</t>
  </si>
  <si>
    <t>GOH WEN DA</t>
  </si>
  <si>
    <t>S8839026A</t>
  </si>
  <si>
    <t>23006</t>
  </si>
  <si>
    <t>RAJA ARULKUMAR</t>
  </si>
  <si>
    <t>G2663565P</t>
  </si>
  <si>
    <t>23007</t>
  </si>
  <si>
    <t>KOVALAN BALAMANY</t>
  </si>
  <si>
    <t>G7101874T</t>
  </si>
  <si>
    <t>23008</t>
  </si>
  <si>
    <t>AARON RAJADURAI</t>
  </si>
  <si>
    <t>SMKT</t>
  </si>
  <si>
    <t>SALES &amp; MARKETING</t>
  </si>
  <si>
    <t>S8611343J</t>
  </si>
  <si>
    <t>23010</t>
  </si>
  <si>
    <t>KATHIRVEL RAMASAMY</t>
  </si>
  <si>
    <t>G6831665R</t>
  </si>
  <si>
    <t>23011</t>
  </si>
  <si>
    <t>KISHANRAJ PANNIR SELVAM</t>
  </si>
  <si>
    <t>M3365072P</t>
  </si>
  <si>
    <t>23012</t>
  </si>
  <si>
    <t>MARTIN NG SOO LEONG</t>
  </si>
  <si>
    <t>PRD</t>
  </si>
  <si>
    <t>PROCUREMENT</t>
  </si>
  <si>
    <t>S7607758D</t>
  </si>
  <si>
    <t>23014</t>
  </si>
  <si>
    <t>MURUGAN SATHISHKUMAR</t>
  </si>
  <si>
    <t>G8824707N</t>
  </si>
  <si>
    <t>23016</t>
  </si>
  <si>
    <t>LAVANIAH PUNNIYAMUTHY</t>
  </si>
  <si>
    <t>M3365162N</t>
  </si>
  <si>
    <t>23017</t>
  </si>
  <si>
    <t>ARUMUGAM BABU</t>
  </si>
  <si>
    <t>G2766406M</t>
  </si>
  <si>
    <t>23018</t>
  </si>
  <si>
    <t>SUMALI CHAIHAO</t>
  </si>
  <si>
    <t>S7784677H</t>
  </si>
  <si>
    <t>23020</t>
  </si>
  <si>
    <t>MUTHUSAMY RAGAVAN</t>
  </si>
  <si>
    <t>G8784711Q</t>
  </si>
  <si>
    <t>24003</t>
  </si>
  <si>
    <t>LOGESH A/L VEJAYAKUMURAN</t>
  </si>
  <si>
    <t>G6978581L</t>
  </si>
  <si>
    <t>24004</t>
  </si>
  <si>
    <t>ABOOL FEDEBRIC MORIL</t>
  </si>
  <si>
    <t>G6377427N</t>
  </si>
  <si>
    <t>24005</t>
  </si>
  <si>
    <t>NG ZHENG RONG</t>
  </si>
  <si>
    <t>S8810016F</t>
  </si>
  <si>
    <t>24007</t>
  </si>
  <si>
    <t>NIRHUMALAN GANGAN</t>
  </si>
  <si>
    <t>M3369214L</t>
  </si>
  <si>
    <t>24008</t>
  </si>
  <si>
    <t>HOSSAIN ABIR</t>
  </si>
  <si>
    <t>M3264632P</t>
  </si>
  <si>
    <t>24011</t>
  </si>
  <si>
    <t>MURALIRAJ S/O RAJOO DEVARAJ</t>
  </si>
  <si>
    <t>S8533846C</t>
  </si>
  <si>
    <t>24014</t>
  </si>
  <si>
    <t>ALI MD ROMJAN</t>
  </si>
  <si>
    <t>G2702820P</t>
  </si>
  <si>
    <t>24016</t>
  </si>
  <si>
    <t>TRIE NOVIYANI BINTI KODIRON</t>
  </si>
  <si>
    <t>S9042801B</t>
  </si>
  <si>
    <t>24020</t>
  </si>
  <si>
    <t>MOLLA FIROZ</t>
  </si>
  <si>
    <t>G2147952M</t>
  </si>
  <si>
    <t>24021</t>
  </si>
  <si>
    <t>KATHIRVEL DEVARAJ</t>
  </si>
  <si>
    <t>G7688778R</t>
  </si>
  <si>
    <t>CHEQUE</t>
  </si>
  <si>
    <t>24029</t>
  </si>
  <si>
    <t>NATARAJAN ARAVINDA KUMAR</t>
  </si>
  <si>
    <t>M3138902R</t>
  </si>
  <si>
    <t>24030</t>
  </si>
  <si>
    <t>GOVINDARAJ KOORI SELVAM</t>
  </si>
  <si>
    <t>M3016114Q</t>
  </si>
  <si>
    <t>24031</t>
  </si>
  <si>
    <t>TULASI DASS S/O JAYARAM GOVINDASAMY</t>
  </si>
  <si>
    <t>HMOPER</t>
  </si>
  <si>
    <t>S1556513F</t>
  </si>
  <si>
    <t>25001</t>
  </si>
  <si>
    <t>SHIL SHAM SUNDAR</t>
  </si>
  <si>
    <t>G8156931U</t>
  </si>
  <si>
    <t>25002</t>
  </si>
  <si>
    <t>NAVENH PATMANATHAN MOHAN RAJ</t>
  </si>
  <si>
    <t>M3574913J</t>
  </si>
  <si>
    <t>25003</t>
  </si>
  <si>
    <t>OSMAN GONI MOHAMMAD</t>
  </si>
  <si>
    <t>G2139800X</t>
  </si>
  <si>
    <t>25004</t>
  </si>
  <si>
    <t>PRABHAHARAN RAMASAMY</t>
  </si>
  <si>
    <t>G3475546P</t>
  </si>
  <si>
    <t>25005</t>
  </si>
  <si>
    <t>RAVINDRAN SIVAPRAKASAM</t>
  </si>
  <si>
    <t>SALTEC</t>
  </si>
  <si>
    <t>SALES &amp; TECHNOLOGY</t>
  </si>
  <si>
    <t>G6165576Q</t>
  </si>
  <si>
    <t>CASH</t>
  </si>
  <si>
    <t>25006</t>
  </si>
  <si>
    <t>RAMACHANDRAN MOHAN DINESH KUMAR</t>
  </si>
  <si>
    <t>G6071918M</t>
  </si>
  <si>
    <t>25007</t>
  </si>
  <si>
    <t>PRIYA DARSINI RAVI</t>
  </si>
  <si>
    <t>HR</t>
  </si>
  <si>
    <t>HUMAN RESOURCES</t>
  </si>
  <si>
    <t>OSHR</t>
  </si>
  <si>
    <t>M3581010W</t>
  </si>
  <si>
    <t>25008</t>
  </si>
  <si>
    <t>HAMSERUBYNI SOMASUNDRAM</t>
  </si>
  <si>
    <t>M3591248N</t>
  </si>
  <si>
    <t>25009</t>
  </si>
  <si>
    <t>NAZREENISHA D/O MAJID</t>
  </si>
  <si>
    <t>S9140886D</t>
  </si>
  <si>
    <t>25011</t>
  </si>
  <si>
    <t>SHAGIV RAJ DAVID</t>
  </si>
  <si>
    <t>T0236747A</t>
  </si>
  <si>
    <t>25012</t>
  </si>
  <si>
    <t>MUTHALIAPPAN KAILASANATHAN</t>
  </si>
  <si>
    <t>M3142534K</t>
  </si>
  <si>
    <t>TOTAL:</t>
  </si>
  <si>
    <t xml:space="preserve"> Monthly Payroll Detail Excel Report </t>
  </si>
</sst>
</file>

<file path=xl/styles.xml><?xml version="1.0" encoding="utf-8"?>
<styleSheet xmlns="http://schemas.openxmlformats.org/spreadsheetml/2006/main">
  <numFmts count="4">
    <numFmt numFmtId="5" formatCode="(&quot;$&quot;#,##0_);(&quot;$&quot;#,##0)"/>
    <numFmt numFmtId="6" formatCode="(&quot;$&quot;#,##0_);[Red](&quot;$&quot;#,##0)"/>
    <numFmt numFmtId="7" formatCode="(&quot;$&quot;#,##0.00_);(&quot;$&quot;#,##0.00)"/>
    <numFmt numFmtId="8" formatCode="(&quot;$&quot;#,##0.00_);[Red](&quot;$&quot;#,##0.00)"/>
  </numFmts>
  <fonts count="7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  <font>
      <name val="Arial"/>
      <b/>
      <sz val="9"/>
    </font>
    <font>
      <name val="Arial"/>
      <b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</borders>
  <cellStyleXfs count="20">
    <xf numFmtId="0" fontId="0" borderId="0" fillId="0" applyNumberFormat="1" applyFont="1" applyFill="1" applyBorder="1" applyAlignment="1" applyProtection="1"/>
    <xf numFmtId="0" fontId="0" borderId="0" fillId="0" applyFont="1"/>
    <xf numFmtId="0" fontId="0" borderId="0" fillId="0" applyFont="1"/>
    <xf numFmtId="0" fontId="1" borderId="0" fillId="0" applyFont="1"/>
    <xf numFmtId="0" fontId="1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0" fontId="0" borderId="0" fillId="0" applyFont="1"/>
    <xf numFmtId="44" fontId="0" borderId="0" fillId="0" applyNumberFormat="1"/>
    <xf numFmtId="42" fontId="0" borderId="0" fillId="0" applyNumberFormat="1"/>
    <xf numFmtId="9" fontId="0" borderId="0" fillId="0" applyNumberFormat="1"/>
    <xf numFmtId="43" fontId="0" borderId="0" fillId="0" applyNumberFormat="1"/>
    <xf numFmtId="41" fontId="0" borderId="0" fillId="0" applyNumberFormat="1"/>
  </cellStyleXfs>
  <cellXfs count="14">
    <xf numFmtId="0" fontId="0" borderId="0" fillId="0"/>
    <xf numFmtId="0" fontId="4" borderId="0" fillId="0" applyFont="1"/>
    <xf numFmtId="0" fontId="4" borderId="1" fillId="0" applyFont="1" applyBorder="1" applyAlignment="1">
      <alignment horizontal="center"/>
    </xf>
    <xf numFmtId="0" fontId="4" borderId="2" fillId="0" applyFont="1" applyBorder="1" applyAlignment="1">
      <alignment horizontal="center"/>
    </xf>
    <xf numFmtId="0" fontId="4" borderId="3" fillId="0" applyFont="1" applyBorder="1" applyAlignment="1">
      <alignment horizontal="center"/>
    </xf>
    <xf numFmtId="0" fontId="4" borderId="4" fillId="0" applyFont="1" applyBorder="1" applyAlignment="1">
      <alignment horizontal="center"/>
    </xf>
    <xf numFmtId="0" fontId="4" borderId="5" fillId="0" applyFont="1" applyBorder="1" applyAlignment="1">
      <alignment horizontal="center"/>
    </xf>
    <xf numFmtId="0" fontId="4" borderId="6" fillId="0" applyFont="1" applyBorder="1" applyAlignment="1">
      <alignment horizontal="center"/>
    </xf>
    <xf numFmtId="0" fontId="5" borderId="0" fillId="0" applyFont="1"/>
    <xf numFmtId="2" fontId="5" borderId="0" fillId="0" applyNumberFormat="1" applyFont="1"/>
    <xf numFmtId="14" fontId="0" borderId="0" fillId="0" applyNumberFormat="1"/>
    <xf numFmtId="2" fontId="0" borderId="0" fillId="0" applyNumberFormat="1"/>
    <xf numFmtId="2" fontId="4" borderId="4" fillId="0" applyNumberFormat="1" applyFont="1" applyBorder="1" applyAlignment="1">
      <alignment horizontal="right"/>
    </xf>
    <xf numFmtId="0" fontId="6" borderId="4" fillId="0" applyFont="1" applyBorder="1" applyAlignment="1">
      <alignment horizontal="center"/>
    </xf>
  </cellXfs>
  <cellStyles count="1">
    <cellStyle name="General" xfId="0" builtinId="0"/>
  </cellStyles>
  <dxfs count="0"/>
  <tableStyles count="0" defaultTableStyle="TableStyleMedium9" defaultPivotStyle="PivotStyleLight16"/>
</styleSheet>
</file>

<file path=xl/_rels/workbook.xml.rels><?xml version="1.0"?>
<Relationships xmlns="http://schemas.openxmlformats.org/package/2006/relationships">
  <Relationship Id="rId1" Type="http://schemas.openxmlformats.org/officeDocument/2006/relationships/styles" Target="styles.xml" />
  <Relationship Id="rId2" Type="http://schemas.openxmlformats.org/officeDocument/2006/relationships/sharedStrings" Target="sharedStrings.xml" />
  <Relationship Id="rId3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 xmlns:r="http://schemas.openxmlformats.org/officeDocument/2006/relationships">
  <sheetPr codeName="">
    <outlinePr summaryBelow="1" summaryRight="1"/>
  </sheetPr>
  <dimension ref="A1:BZ70"/>
  <sheetViews>
    <sheetView tabSelected="1" workbookViewId="0"/>
  </sheetViews>
  <sheetFormatPr defaultColWidth="9.14" defaultRowHeight="12.75"/>
  <cols>
    <col min="1" max="1" width="17.004285714285714"/>
    <col min="2" max="2" width="30.714285714285715"/>
    <col min="3" max="3" width="42.574285714285715"/>
    <col min="4" max="4" width="12.424285714285714"/>
    <col min="5" max="5" width="40.714285714285715"/>
    <col min="6" max="6" width="11.284285714285716"/>
    <col min="7" max="7" width="15.854285714285714"/>
    <col min="8" max="8" width="11.284285714285716"/>
    <col min="9" max="9" width="49.144285714285715"/>
    <col min="10" max="10" width="12.144285714285713"/>
    <col min="11" max="11" width="11.424285714285714"/>
    <col min="12" max="12" width="13.574285714285713"/>
    <col min="13" max="13" width="6.0042857142857144"/>
    <col min="14" max="17" width="5.8542857142857141"/>
    <col min="18" max="18" width="20.004285714285714"/>
    <col min="19" max="19" width="23.144285714285711"/>
    <col min="20" max="20" width="37.144285714285715"/>
    <col min="21" max="21" width="30.714285714285715"/>
    <col min="22" max="22" width="38.004285714285707"/>
    <col min="23" max="23" width="26.714285714285715"/>
    <col min="24" max="24" width="21.144285714285711"/>
    <col min="25" max="25" width="16.854285714285716"/>
    <col min="26" max="26" width="26.854285714285716"/>
    <col min="27" max="27" width="39.004285714285707"/>
    <col min="28" max="28" width="39.424285714285716"/>
    <col min="29" max="29" width="44.004285714285707"/>
    <col min="30" max="30" width="23.284285714285716"/>
    <col min="31" max="31" width="23.714285714285715"/>
    <col min="32" max="32" width="13.144285714285713"/>
    <col min="33" max="33" width="4.8542857142857141"/>
    <col min="34" max="34" width="6.7142857142857144"/>
    <col min="35" max="35" width="4.8542857142857141"/>
    <col min="36" max="36" width="6.8542857142857141"/>
    <col min="37" max="37" width="7.7142857142857144"/>
    <col min="38" max="38" width="8.1442857142857132"/>
    <col min="39" max="39" width="16.004285714285714"/>
    <col min="40" max="40" width="12.854285714285714"/>
    <col min="41" max="41" width="7.0042857142857144"/>
    <col min="42" max="42" width="9.1442857142857132"/>
    <col min="43" max="44" width="16.424285714285713"/>
    <col min="45" max="45" width="9.1442857142857132"/>
    <col min="46" max="46" width="10.284285714285716"/>
    <col min="47" max="47" width="11.424285714285714"/>
    <col min="48" max="48" width="11.284285714285716"/>
    <col min="49" max="49" width="15.714285714285714"/>
    <col min="50" max="50" width="35.854285714285716"/>
    <col min="51" max="78" width="10.714285714285714"/>
  </cols>
  <sheetData>
    <row r="1" ht="12.75">
      <c r="A1" s="13" t="s">
        <v>298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ht="12.75">
      <c r="A2" s="8" t="s">
        <v>0</v>
      </c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</row>
    <row r="3" ht="12.7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5" t="s">
        <v>24</v>
      </c>
      <c r="M4" s="5"/>
      <c r="N4" s="5"/>
      <c r="O4" s="5"/>
      <c r="P4" s="5"/>
      <c r="Q4" s="5"/>
      <c r="R4" s="5"/>
      <c r="S4" s="6"/>
      <c r="T4" s="6" t="s">
        <v>25</v>
      </c>
      <c r="U4" s="5" t="s">
        <v>28</v>
      </c>
      <c r="V4" s="6"/>
      <c r="W4" s="5" t="s">
        <v>31</v>
      </c>
      <c r="X4" s="5"/>
      <c r="Y4" s="5" t="s">
        <v>31</v>
      </c>
      <c r="Z4" s="5"/>
      <c r="AA4" s="5"/>
      <c r="AB4" s="5"/>
      <c r="AC4" s="5"/>
      <c r="AD4" s="5"/>
      <c r="AE4" s="6"/>
      <c r="AF4" s="5" t="s">
        <v>49</v>
      </c>
      <c r="AG4" s="5"/>
      <c r="AH4" s="5"/>
      <c r="AI4" s="5"/>
      <c r="AJ4" s="5"/>
      <c r="AK4" s="5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5"/>
      <c r="AX4" s="5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3" t="s">
        <v>21</v>
      </c>
      <c r="N5" s="3"/>
      <c r="O5" s="3"/>
      <c r="P5" s="3"/>
      <c r="Q5" s="3"/>
      <c r="R5" s="1"/>
      <c r="S5" s="1"/>
      <c r="T5" s="2" t="s">
        <v>26</v>
      </c>
      <c r="U5" s="3" t="s">
        <v>26</v>
      </c>
      <c r="V5" s="2"/>
      <c r="W5" s="3" t="s">
        <v>26</v>
      </c>
      <c r="X5" s="2"/>
      <c r="Y5" s="3" t="s">
        <v>34</v>
      </c>
      <c r="Z5" s="3"/>
      <c r="AA5" s="3"/>
      <c r="AB5" s="3"/>
      <c r="AC5" s="3"/>
      <c r="AD5" s="3"/>
      <c r="AE5" s="2"/>
      <c r="AF5" s="3" t="s">
        <v>34</v>
      </c>
      <c r="AG5" s="3" t="s">
        <v>43</v>
      </c>
      <c r="AH5" s="3"/>
      <c r="AI5" s="3"/>
      <c r="AJ5" s="3"/>
      <c r="AK5" s="3"/>
      <c r="AL5" s="1"/>
      <c r="AM5" s="1"/>
      <c r="AN5" s="1"/>
      <c r="AO5" s="1"/>
      <c r="AP5" s="1"/>
      <c r="AQ5" s="4" t="s">
        <v>55</v>
      </c>
      <c r="AR5" s="4"/>
      <c r="AS5" s="7"/>
      <c r="AT5" s="7"/>
      <c r="AU5" s="7"/>
      <c r="AV5" s="7"/>
      <c r="AW5" s="3" t="s">
        <v>62</v>
      </c>
      <c r="AX5" s="3"/>
    </row>
    <row r="6" ht="12.7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22</v>
      </c>
      <c r="S6" s="5" t="s">
        <v>23</v>
      </c>
      <c r="T6" s="5" t="s">
        <v>27</v>
      </c>
      <c r="U6" s="5" t="s">
        <v>29</v>
      </c>
      <c r="V6" s="5" t="s">
        <v>30</v>
      </c>
      <c r="W6" s="5" t="s">
        <v>32</v>
      </c>
      <c r="X6" s="5" t="s">
        <v>33</v>
      </c>
      <c r="Y6" s="5" t="s">
        <v>35</v>
      </c>
      <c r="Z6" s="5" t="s">
        <v>36</v>
      </c>
      <c r="AA6" s="5" t="s">
        <v>37</v>
      </c>
      <c r="AB6" s="5" t="s">
        <v>38</v>
      </c>
      <c r="AC6" s="5" t="s">
        <v>39</v>
      </c>
      <c r="AD6" s="5" t="s">
        <v>40</v>
      </c>
      <c r="AE6" s="5" t="s">
        <v>41</v>
      </c>
      <c r="AF6" s="5" t="s">
        <v>42</v>
      </c>
      <c r="AG6" s="5" t="s">
        <v>44</v>
      </c>
      <c r="AH6" s="5" t="s">
        <v>45</v>
      </c>
      <c r="AI6" s="5" t="s">
        <v>46</v>
      </c>
      <c r="AJ6" s="5" t="s">
        <v>47</v>
      </c>
      <c r="AK6" s="5" t="s">
        <v>48</v>
      </c>
      <c r="AL6" s="5" t="s">
        <v>50</v>
      </c>
      <c r="AM6" s="5" t="s">
        <v>51</v>
      </c>
      <c r="AN6" s="5" t="s">
        <v>52</v>
      </c>
      <c r="AO6" s="5" t="s">
        <v>53</v>
      </c>
      <c r="AP6" s="5" t="s">
        <v>54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63</v>
      </c>
      <c r="AX6" s="5" t="s">
        <v>64</v>
      </c>
    </row>
    <row r="7" ht="12.75">
      <c r="A7">
        <v>1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s="10">
        <v>39041</v>
      </c>
      <c r="L7" s="11">
        <v>22500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AF7" s="11">
        <v>0</v>
      </c>
      <c r="AK7" s="11">
        <v>-30</v>
      </c>
      <c r="AL7" s="11">
        <v>0</v>
      </c>
      <c r="AM7" s="11">
        <v>22500</v>
      </c>
      <c r="AN7" s="11">
        <v>22500</v>
      </c>
      <c r="AO7" s="11">
        <v>11.25</v>
      </c>
      <c r="AP7" s="11">
        <v>0</v>
      </c>
      <c r="AQ7" s="11">
        <v>888</v>
      </c>
      <c r="AR7" s="11">
        <v>-851</v>
      </c>
      <c r="AS7" s="11">
        <v>1739</v>
      </c>
      <c r="AT7" s="11">
        <v>21619</v>
      </c>
      <c r="AU7" t="s">
        <v>74</v>
      </c>
      <c r="AW7" s="11">
        <v>0</v>
      </c>
      <c r="AX7" s="11">
        <v>0</v>
      </c>
    </row>
    <row r="8" ht="12.75">
      <c r="A8">
        <v>2</v>
      </c>
      <c r="B8" t="s">
        <v>75</v>
      </c>
      <c r="C8" t="s">
        <v>76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77</v>
      </c>
      <c r="K8" s="10">
        <v>39041</v>
      </c>
      <c r="L8" s="11">
        <v>2000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AF8" s="11">
        <v>0</v>
      </c>
      <c r="AK8" s="11">
        <v>-5</v>
      </c>
      <c r="AL8" s="11">
        <v>0</v>
      </c>
      <c r="AM8" s="11">
        <v>2000</v>
      </c>
      <c r="AN8" s="11">
        <v>2000</v>
      </c>
      <c r="AO8" s="11">
        <v>5</v>
      </c>
      <c r="AP8" s="11">
        <v>0</v>
      </c>
      <c r="AQ8" s="11">
        <v>180</v>
      </c>
      <c r="AR8" s="11">
        <v>-150</v>
      </c>
      <c r="AS8" s="11">
        <v>330</v>
      </c>
      <c r="AT8" s="11">
        <v>1845</v>
      </c>
      <c r="AU8" t="s">
        <v>74</v>
      </c>
      <c r="AW8" s="11">
        <v>0</v>
      </c>
      <c r="AX8" s="11">
        <v>0</v>
      </c>
    </row>
    <row r="9" ht="12.75">
      <c r="A9">
        <v>3</v>
      </c>
      <c r="B9" t="s">
        <v>78</v>
      </c>
      <c r="C9" t="s">
        <v>79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80</v>
      </c>
      <c r="K9" s="10">
        <v>39041</v>
      </c>
      <c r="L9" s="11">
        <v>22500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AF9" s="11">
        <v>0</v>
      </c>
      <c r="AK9" s="11">
        <v>-30</v>
      </c>
      <c r="AL9" s="11">
        <v>0</v>
      </c>
      <c r="AM9" s="11">
        <v>22500</v>
      </c>
      <c r="AN9" s="11">
        <v>22500</v>
      </c>
      <c r="AO9" s="11">
        <v>11.25</v>
      </c>
      <c r="AP9" s="11">
        <v>0</v>
      </c>
      <c r="AQ9" s="11">
        <v>888</v>
      </c>
      <c r="AR9" s="11">
        <v>-851</v>
      </c>
      <c r="AS9" s="11">
        <v>1739</v>
      </c>
      <c r="AT9" s="11">
        <v>21619</v>
      </c>
      <c r="AU9" t="s">
        <v>74</v>
      </c>
      <c r="AW9" s="11">
        <v>0</v>
      </c>
      <c r="AX9" s="11">
        <v>0</v>
      </c>
    </row>
    <row r="10" ht="12.75">
      <c r="A10">
        <v>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s="10">
        <v>41781</v>
      </c>
      <c r="L10" s="11">
        <v>6900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AF10" s="11">
        <v>0</v>
      </c>
      <c r="AJ10" s="11">
        <v>-22</v>
      </c>
      <c r="AL10" s="11">
        <v>0</v>
      </c>
      <c r="AM10" s="11">
        <v>6900</v>
      </c>
      <c r="AN10" s="11">
        <v>6900</v>
      </c>
      <c r="AO10" s="11">
        <v>11.25</v>
      </c>
      <c r="AP10" s="11">
        <v>550</v>
      </c>
      <c r="AQ10" s="11">
        <v>0</v>
      </c>
      <c r="AR10" s="11">
        <v>0</v>
      </c>
      <c r="AS10" s="11">
        <v>0</v>
      </c>
      <c r="AT10" s="11">
        <v>6878</v>
      </c>
      <c r="AU10" t="s">
        <v>74</v>
      </c>
      <c r="AW10" s="11">
        <v>0</v>
      </c>
      <c r="AX10" s="11">
        <v>0</v>
      </c>
    </row>
    <row r="11" ht="12.75">
      <c r="A11">
        <v>5</v>
      </c>
      <c r="B11" t="s">
        <v>90</v>
      </c>
      <c r="C11" t="s">
        <v>91</v>
      </c>
      <c r="D11" t="s">
        <v>83</v>
      </c>
      <c r="E11" t="s">
        <v>84</v>
      </c>
      <c r="F11" t="s">
        <v>85</v>
      </c>
      <c r="G11" t="s">
        <v>86</v>
      </c>
      <c r="H11" t="s">
        <v>92</v>
      </c>
      <c r="I11" t="s">
        <v>93</v>
      </c>
      <c r="J11" t="s">
        <v>94</v>
      </c>
      <c r="K11" s="10">
        <v>42355</v>
      </c>
      <c r="L11" s="11">
        <v>4650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AF11" s="11">
        <v>0</v>
      </c>
      <c r="AL11" s="11">
        <v>0</v>
      </c>
      <c r="AM11" s="11">
        <v>4650</v>
      </c>
      <c r="AN11" s="11">
        <v>4650</v>
      </c>
      <c r="AO11" s="11">
        <v>11.25</v>
      </c>
      <c r="AP11" s="11">
        <v>550</v>
      </c>
      <c r="AQ11" s="11">
        <v>0</v>
      </c>
      <c r="AR11" s="11">
        <v>0</v>
      </c>
      <c r="AS11" s="11">
        <v>0</v>
      </c>
      <c r="AT11" s="11">
        <v>4650</v>
      </c>
      <c r="AU11" t="s">
        <v>74</v>
      </c>
      <c r="AW11" s="11">
        <v>0</v>
      </c>
      <c r="AX11" s="11">
        <v>0</v>
      </c>
    </row>
    <row r="12" ht="12.75">
      <c r="A12">
        <v>6</v>
      </c>
      <c r="B12" t="s">
        <v>95</v>
      </c>
      <c r="C12" t="s">
        <v>96</v>
      </c>
      <c r="D12" t="s">
        <v>97</v>
      </c>
      <c r="E12" t="s">
        <v>98</v>
      </c>
      <c r="F12" t="s">
        <v>85</v>
      </c>
      <c r="G12" t="s">
        <v>86</v>
      </c>
      <c r="H12" t="s">
        <v>99</v>
      </c>
      <c r="I12" t="s">
        <v>100</v>
      </c>
      <c r="J12" t="s">
        <v>101</v>
      </c>
      <c r="K12" s="10">
        <v>42719</v>
      </c>
      <c r="L12" s="11">
        <v>2300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AF12" s="11">
        <v>0</v>
      </c>
      <c r="AL12" s="11">
        <v>0</v>
      </c>
      <c r="AM12" s="11">
        <v>2300</v>
      </c>
      <c r="AN12" s="11">
        <v>2300</v>
      </c>
      <c r="AO12" s="11">
        <v>5.75</v>
      </c>
      <c r="AP12" s="11">
        <v>500</v>
      </c>
      <c r="AQ12" s="11">
        <v>0</v>
      </c>
      <c r="AR12" s="11">
        <v>0</v>
      </c>
      <c r="AS12" s="11">
        <v>0</v>
      </c>
      <c r="AT12" s="11">
        <v>2300</v>
      </c>
      <c r="AU12" t="s">
        <v>74</v>
      </c>
      <c r="AW12" s="11">
        <v>0</v>
      </c>
      <c r="AX12" s="11">
        <v>0</v>
      </c>
    </row>
    <row r="13" ht="12.75">
      <c r="A13">
        <v>7</v>
      </c>
      <c r="B13" t="s">
        <v>102</v>
      </c>
      <c r="C13" t="s">
        <v>103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104</v>
      </c>
      <c r="K13" s="10">
        <v>42416</v>
      </c>
      <c r="L13" s="11">
        <v>15000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AF13" s="11">
        <v>0</v>
      </c>
      <c r="AH13" s="11">
        <v>-3</v>
      </c>
      <c r="AL13" s="11">
        <v>0</v>
      </c>
      <c r="AM13" s="11">
        <v>15000</v>
      </c>
      <c r="AN13" s="11">
        <v>15000</v>
      </c>
      <c r="AO13" s="11">
        <v>11.25</v>
      </c>
      <c r="AP13" s="11">
        <v>0</v>
      </c>
      <c r="AQ13" s="11">
        <v>1258</v>
      </c>
      <c r="AR13" s="11">
        <v>-1480</v>
      </c>
      <c r="AS13" s="11">
        <v>2738</v>
      </c>
      <c r="AT13" s="11">
        <v>13517</v>
      </c>
      <c r="AU13" t="s">
        <v>74</v>
      </c>
      <c r="AW13" s="11">
        <v>0</v>
      </c>
      <c r="AX13" s="11">
        <v>0</v>
      </c>
    </row>
    <row r="14" ht="12.75">
      <c r="A14">
        <v>8</v>
      </c>
      <c r="B14" t="s">
        <v>105</v>
      </c>
      <c r="C14" t="s">
        <v>106</v>
      </c>
      <c r="D14" t="s">
        <v>97</v>
      </c>
      <c r="E14" t="s">
        <v>98</v>
      </c>
      <c r="F14" t="s">
        <v>85</v>
      </c>
      <c r="G14" t="s">
        <v>86</v>
      </c>
      <c r="H14" t="s">
        <v>92</v>
      </c>
      <c r="I14" t="s">
        <v>93</v>
      </c>
      <c r="J14" t="s">
        <v>107</v>
      </c>
      <c r="K14" s="10">
        <v>42957</v>
      </c>
      <c r="L14" s="11">
        <v>2300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100</v>
      </c>
      <c r="AF14" s="11">
        <v>0</v>
      </c>
      <c r="AL14" s="11">
        <v>0</v>
      </c>
      <c r="AM14" s="11">
        <v>2400</v>
      </c>
      <c r="AN14" s="11">
        <v>2400</v>
      </c>
      <c r="AO14" s="11">
        <v>6</v>
      </c>
      <c r="AP14" s="11">
        <v>500</v>
      </c>
      <c r="AQ14" s="11">
        <v>0</v>
      </c>
      <c r="AR14" s="11">
        <v>0</v>
      </c>
      <c r="AS14" s="11">
        <v>0</v>
      </c>
      <c r="AT14" s="11">
        <v>2400</v>
      </c>
      <c r="AU14" t="s">
        <v>74</v>
      </c>
      <c r="AW14" s="11">
        <v>0</v>
      </c>
      <c r="AX14" s="11">
        <v>0</v>
      </c>
    </row>
    <row r="15" ht="12.75">
      <c r="A15">
        <v>9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87</v>
      </c>
      <c r="I15" t="s">
        <v>88</v>
      </c>
      <c r="J15" t="s">
        <v>114</v>
      </c>
      <c r="K15" s="10">
        <v>43024</v>
      </c>
      <c r="L15" s="11">
        <v>6000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AF15" s="11">
        <v>0</v>
      </c>
      <c r="AK15" s="11">
        <v>-9</v>
      </c>
      <c r="AL15" s="11">
        <v>0</v>
      </c>
      <c r="AM15" s="11">
        <v>6000</v>
      </c>
      <c r="AN15" s="11">
        <v>6000</v>
      </c>
      <c r="AO15" s="11">
        <v>11.25</v>
      </c>
      <c r="AP15" s="11">
        <v>0</v>
      </c>
      <c r="AQ15" s="11">
        <v>930</v>
      </c>
      <c r="AR15" s="11">
        <v>-1020</v>
      </c>
      <c r="AS15" s="11">
        <v>1950</v>
      </c>
      <c r="AT15" s="11">
        <v>4971</v>
      </c>
      <c r="AU15" t="s">
        <v>74</v>
      </c>
      <c r="AW15" s="11">
        <v>0</v>
      </c>
      <c r="AX15" s="11">
        <v>0</v>
      </c>
    </row>
    <row r="16" ht="12.75">
      <c r="A16">
        <v>10</v>
      </c>
      <c r="B16" t="s">
        <v>115</v>
      </c>
      <c r="C16" t="s">
        <v>116</v>
      </c>
      <c r="D16" t="s">
        <v>83</v>
      </c>
      <c r="E16" t="s">
        <v>84</v>
      </c>
      <c r="F16" t="s">
        <v>85</v>
      </c>
      <c r="G16" t="s">
        <v>86</v>
      </c>
      <c r="H16" t="s">
        <v>92</v>
      </c>
      <c r="I16" t="s">
        <v>93</v>
      </c>
      <c r="J16" t="s">
        <v>117</v>
      </c>
      <c r="K16" s="10">
        <v>43040</v>
      </c>
      <c r="L16" s="11">
        <v>3800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AF16" s="11">
        <v>0</v>
      </c>
      <c r="AL16" s="11">
        <v>0</v>
      </c>
      <c r="AM16" s="11">
        <v>3800</v>
      </c>
      <c r="AN16" s="11">
        <v>3800</v>
      </c>
      <c r="AO16" s="11">
        <v>9.5</v>
      </c>
      <c r="AP16" s="11">
        <v>550</v>
      </c>
      <c r="AQ16" s="11">
        <v>0</v>
      </c>
      <c r="AR16" s="11">
        <v>0</v>
      </c>
      <c r="AS16" s="11">
        <v>0</v>
      </c>
      <c r="AT16" s="11">
        <v>3800</v>
      </c>
      <c r="AU16" t="s">
        <v>74</v>
      </c>
      <c r="AW16" s="11">
        <v>0</v>
      </c>
      <c r="AX16" s="11">
        <v>0</v>
      </c>
    </row>
    <row r="17" ht="12.75">
      <c r="A17">
        <v>11</v>
      </c>
      <c r="B17" t="s">
        <v>118</v>
      </c>
      <c r="C17" t="s">
        <v>119</v>
      </c>
      <c r="D17" t="s">
        <v>120</v>
      </c>
      <c r="E17" t="s">
        <v>121</v>
      </c>
      <c r="F17" t="s">
        <v>69</v>
      </c>
      <c r="G17" t="s">
        <v>70</v>
      </c>
      <c r="H17" t="s">
        <v>92</v>
      </c>
      <c r="I17" t="s">
        <v>93</v>
      </c>
      <c r="J17" t="s">
        <v>122</v>
      </c>
      <c r="K17" s="10">
        <v>43086</v>
      </c>
      <c r="L17" s="11">
        <v>3500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AF17" s="11">
        <v>0</v>
      </c>
      <c r="AL17" s="11">
        <v>0</v>
      </c>
      <c r="AM17" s="11">
        <v>3500</v>
      </c>
      <c r="AN17" s="11">
        <v>3500</v>
      </c>
      <c r="AO17" s="11">
        <v>8.75</v>
      </c>
      <c r="AP17" s="11">
        <v>0</v>
      </c>
      <c r="AQ17" s="11">
        <v>595</v>
      </c>
      <c r="AR17" s="11">
        <v>-700</v>
      </c>
      <c r="AS17" s="11">
        <v>1295</v>
      </c>
      <c r="AT17" s="11">
        <v>2800</v>
      </c>
      <c r="AU17" t="s">
        <v>74</v>
      </c>
      <c r="AW17" s="11">
        <v>0</v>
      </c>
      <c r="AX17" s="11">
        <v>0</v>
      </c>
    </row>
    <row r="18" ht="12.75">
      <c r="A18">
        <v>12</v>
      </c>
      <c r="B18" t="s">
        <v>123</v>
      </c>
      <c r="C18" t="s">
        <v>124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125</v>
      </c>
      <c r="K18" s="10">
        <v>43178</v>
      </c>
      <c r="L18" s="11">
        <v>6000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AF18" s="11">
        <v>0</v>
      </c>
      <c r="AK18" s="11">
        <v>-9</v>
      </c>
      <c r="AL18" s="11">
        <v>0</v>
      </c>
      <c r="AM18" s="11">
        <v>6000</v>
      </c>
      <c r="AN18" s="11">
        <v>6000</v>
      </c>
      <c r="AO18" s="11">
        <v>11.25</v>
      </c>
      <c r="AP18" s="11">
        <v>0</v>
      </c>
      <c r="AQ18" s="11">
        <v>1020</v>
      </c>
      <c r="AR18" s="11">
        <v>-1200</v>
      </c>
      <c r="AS18" s="11">
        <v>2220</v>
      </c>
      <c r="AT18" s="11">
        <v>4791</v>
      </c>
      <c r="AU18" t="s">
        <v>74</v>
      </c>
      <c r="AW18" s="11">
        <v>0</v>
      </c>
      <c r="AX18" s="11">
        <v>0</v>
      </c>
    </row>
    <row r="19" ht="12.75">
      <c r="A19">
        <v>13</v>
      </c>
      <c r="B19" t="s">
        <v>126</v>
      </c>
      <c r="C19" t="s">
        <v>127</v>
      </c>
      <c r="D19" t="s">
        <v>83</v>
      </c>
      <c r="E19" t="s">
        <v>84</v>
      </c>
      <c r="F19" t="s">
        <v>85</v>
      </c>
      <c r="G19" t="s">
        <v>86</v>
      </c>
      <c r="H19" t="s">
        <v>128</v>
      </c>
      <c r="I19" t="s">
        <v>129</v>
      </c>
      <c r="J19" t="s">
        <v>130</v>
      </c>
      <c r="K19" s="10">
        <v>43279</v>
      </c>
      <c r="L19" s="11">
        <v>3500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100</v>
      </c>
      <c r="AB19" s="11">
        <v>-400</v>
      </c>
      <c r="AF19" s="11">
        <v>0</v>
      </c>
      <c r="AJ19" s="11">
        <v>-15</v>
      </c>
      <c r="AL19" s="11">
        <v>0</v>
      </c>
      <c r="AM19" s="11">
        <v>3600</v>
      </c>
      <c r="AN19" s="11">
        <v>3600</v>
      </c>
      <c r="AO19" s="11">
        <v>9</v>
      </c>
      <c r="AP19" s="11">
        <v>500</v>
      </c>
      <c r="AQ19" s="11">
        <v>0</v>
      </c>
      <c r="AR19" s="11">
        <v>0</v>
      </c>
      <c r="AS19" s="11">
        <v>0</v>
      </c>
      <c r="AT19" s="11">
        <v>3185</v>
      </c>
      <c r="AU19" t="s">
        <v>74</v>
      </c>
      <c r="AW19" s="11">
        <v>0</v>
      </c>
      <c r="AX19" s="11">
        <v>0</v>
      </c>
    </row>
    <row r="20" ht="12.75">
      <c r="A20">
        <v>14</v>
      </c>
      <c r="B20" t="s">
        <v>131</v>
      </c>
      <c r="C20" t="s">
        <v>132</v>
      </c>
      <c r="D20" t="s">
        <v>83</v>
      </c>
      <c r="E20" t="s">
        <v>84</v>
      </c>
      <c r="F20" t="s">
        <v>112</v>
      </c>
      <c r="G20" t="s">
        <v>113</v>
      </c>
      <c r="H20" t="s">
        <v>87</v>
      </c>
      <c r="I20" t="s">
        <v>88</v>
      </c>
      <c r="J20" t="s">
        <v>133</v>
      </c>
      <c r="K20" s="10">
        <v>44119</v>
      </c>
      <c r="L20" s="11">
        <v>5200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AF20" s="11">
        <v>0</v>
      </c>
      <c r="AH20" s="11">
        <v>-2</v>
      </c>
      <c r="AL20" s="11">
        <v>0</v>
      </c>
      <c r="AM20" s="11">
        <v>5200</v>
      </c>
      <c r="AN20" s="11">
        <v>5200</v>
      </c>
      <c r="AO20" s="11">
        <v>11.25</v>
      </c>
      <c r="AP20" s="11">
        <v>0</v>
      </c>
      <c r="AQ20" s="11">
        <v>884</v>
      </c>
      <c r="AR20" s="11">
        <v>-1040</v>
      </c>
      <c r="AS20" s="11">
        <v>1924</v>
      </c>
      <c r="AT20" s="11">
        <v>4158</v>
      </c>
      <c r="AU20" t="s">
        <v>74</v>
      </c>
      <c r="AW20" s="11">
        <v>0</v>
      </c>
      <c r="AX20" s="11">
        <v>0</v>
      </c>
    </row>
    <row r="21" ht="12.75">
      <c r="A21">
        <v>15</v>
      </c>
      <c r="B21" t="s">
        <v>134</v>
      </c>
      <c r="C21" t="s">
        <v>135</v>
      </c>
      <c r="D21" t="s">
        <v>97</v>
      </c>
      <c r="E21" t="s">
        <v>98</v>
      </c>
      <c r="F21" t="s">
        <v>85</v>
      </c>
      <c r="G21" t="s">
        <v>86</v>
      </c>
      <c r="H21" t="s">
        <v>99</v>
      </c>
      <c r="I21" t="s">
        <v>100</v>
      </c>
      <c r="J21" t="s">
        <v>136</v>
      </c>
      <c r="K21" s="10">
        <v>44301</v>
      </c>
      <c r="L21" s="11">
        <v>1100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AF21" s="11">
        <v>0</v>
      </c>
      <c r="AJ21" s="11">
        <v>-4.5</v>
      </c>
      <c r="AL21" s="11">
        <v>0</v>
      </c>
      <c r="AM21" s="11">
        <v>1100</v>
      </c>
      <c r="AN21" s="11">
        <v>1100</v>
      </c>
      <c r="AO21" s="11">
        <v>2.75</v>
      </c>
      <c r="AP21" s="11">
        <v>900</v>
      </c>
      <c r="AQ21" s="11">
        <v>0</v>
      </c>
      <c r="AR21" s="11">
        <v>0</v>
      </c>
      <c r="AS21" s="11">
        <v>0</v>
      </c>
      <c r="AT21" s="11">
        <v>1095.5</v>
      </c>
      <c r="AU21" t="s">
        <v>74</v>
      </c>
      <c r="AW21" s="11">
        <v>0</v>
      </c>
      <c r="AX21" s="11">
        <v>0</v>
      </c>
    </row>
    <row r="22" ht="12.75">
      <c r="A22">
        <v>16</v>
      </c>
      <c r="B22" t="s">
        <v>137</v>
      </c>
      <c r="C22" t="s">
        <v>138</v>
      </c>
      <c r="D22" t="s">
        <v>97</v>
      </c>
      <c r="E22" t="s">
        <v>98</v>
      </c>
      <c r="F22" t="s">
        <v>85</v>
      </c>
      <c r="G22" t="s">
        <v>86</v>
      </c>
      <c r="H22" t="s">
        <v>92</v>
      </c>
      <c r="I22" t="s">
        <v>93</v>
      </c>
      <c r="J22" t="s">
        <v>139</v>
      </c>
      <c r="K22" s="10">
        <v>44301</v>
      </c>
      <c r="L22" s="11">
        <v>1500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100</v>
      </c>
      <c r="X22" s="11">
        <v>500</v>
      </c>
      <c r="AF22" s="11">
        <v>0</v>
      </c>
      <c r="AJ22" s="11">
        <v>-4.5</v>
      </c>
      <c r="AL22" s="11">
        <v>0</v>
      </c>
      <c r="AM22" s="11">
        <v>2100</v>
      </c>
      <c r="AN22" s="11">
        <v>1600</v>
      </c>
      <c r="AO22" s="11">
        <v>4</v>
      </c>
      <c r="AP22" s="11">
        <v>900</v>
      </c>
      <c r="AQ22" s="11">
        <v>0</v>
      </c>
      <c r="AR22" s="11">
        <v>0</v>
      </c>
      <c r="AS22" s="11">
        <v>0</v>
      </c>
      <c r="AT22" s="11">
        <v>2095.5</v>
      </c>
      <c r="AU22" t="s">
        <v>74</v>
      </c>
      <c r="AW22" s="11">
        <v>0</v>
      </c>
      <c r="AX22" s="11">
        <v>0</v>
      </c>
    </row>
    <row r="23" ht="12.75">
      <c r="A23">
        <v>17</v>
      </c>
      <c r="B23" t="s">
        <v>140</v>
      </c>
      <c r="C23" t="s">
        <v>141</v>
      </c>
      <c r="D23" t="s">
        <v>83</v>
      </c>
      <c r="E23" t="s">
        <v>84</v>
      </c>
      <c r="F23" t="s">
        <v>85</v>
      </c>
      <c r="G23" t="s">
        <v>86</v>
      </c>
      <c r="H23" t="s">
        <v>99</v>
      </c>
      <c r="I23" t="s">
        <v>100</v>
      </c>
      <c r="J23" t="s">
        <v>142</v>
      </c>
      <c r="K23" s="10">
        <v>44393</v>
      </c>
      <c r="L23" s="11">
        <v>1500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100</v>
      </c>
      <c r="V23" s="11">
        <v>50</v>
      </c>
      <c r="AF23" s="11">
        <v>0</v>
      </c>
      <c r="AL23" s="11">
        <v>0</v>
      </c>
      <c r="AM23" s="11">
        <v>1650</v>
      </c>
      <c r="AN23" s="11">
        <v>1650</v>
      </c>
      <c r="AO23" s="11">
        <v>4.13</v>
      </c>
      <c r="AP23" s="11">
        <v>500</v>
      </c>
      <c r="AQ23" s="11">
        <v>0</v>
      </c>
      <c r="AR23" s="11">
        <v>0</v>
      </c>
      <c r="AS23" s="11">
        <v>0</v>
      </c>
      <c r="AT23" s="11">
        <v>1650</v>
      </c>
      <c r="AU23" t="s">
        <v>74</v>
      </c>
      <c r="AW23" s="11">
        <v>0</v>
      </c>
      <c r="AX23" s="11">
        <v>0</v>
      </c>
    </row>
    <row r="24" ht="12.75">
      <c r="A24">
        <v>18</v>
      </c>
      <c r="B24" t="s">
        <v>143</v>
      </c>
      <c r="C24" t="s">
        <v>144</v>
      </c>
      <c r="D24" t="s">
        <v>145</v>
      </c>
      <c r="E24" t="s">
        <v>146</v>
      </c>
      <c r="F24" t="s">
        <v>69</v>
      </c>
      <c r="G24" t="s">
        <v>70</v>
      </c>
      <c r="H24" t="s">
        <v>128</v>
      </c>
      <c r="I24" t="s">
        <v>129</v>
      </c>
      <c r="J24" t="s">
        <v>147</v>
      </c>
      <c r="K24" s="10">
        <v>44487</v>
      </c>
      <c r="L24" s="11">
        <v>4600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AF24" s="11">
        <v>0</v>
      </c>
      <c r="AK24" s="11">
        <v>-9</v>
      </c>
      <c r="AL24" s="11">
        <v>0</v>
      </c>
      <c r="AM24" s="11">
        <v>4600</v>
      </c>
      <c r="AN24" s="11">
        <v>4600</v>
      </c>
      <c r="AO24" s="11">
        <v>11.25</v>
      </c>
      <c r="AP24" s="11">
        <v>0</v>
      </c>
      <c r="AQ24" s="11">
        <v>552</v>
      </c>
      <c r="AR24" s="11">
        <v>-529</v>
      </c>
      <c r="AS24" s="11">
        <v>1081</v>
      </c>
      <c r="AT24" s="11">
        <v>4062</v>
      </c>
      <c r="AU24" t="s">
        <v>74</v>
      </c>
      <c r="AW24" s="11">
        <v>0</v>
      </c>
      <c r="AX24" s="11">
        <v>0</v>
      </c>
    </row>
    <row r="25" ht="12.75">
      <c r="A25">
        <v>19</v>
      </c>
      <c r="B25" t="s">
        <v>148</v>
      </c>
      <c r="C25" t="s">
        <v>149</v>
      </c>
      <c r="D25" t="s">
        <v>150</v>
      </c>
      <c r="E25" t="s">
        <v>151</v>
      </c>
      <c r="F25" t="s">
        <v>69</v>
      </c>
      <c r="G25" t="s">
        <v>70</v>
      </c>
      <c r="H25" t="s">
        <v>87</v>
      </c>
      <c r="I25" t="s">
        <v>88</v>
      </c>
      <c r="J25" t="s">
        <v>152</v>
      </c>
      <c r="K25" s="10">
        <v>44440</v>
      </c>
      <c r="L25" s="11">
        <v>2000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AF25" s="11">
        <v>0</v>
      </c>
      <c r="AK25" s="11">
        <v>-5</v>
      </c>
      <c r="AL25" s="11">
        <v>0</v>
      </c>
      <c r="AM25" s="11">
        <v>2000</v>
      </c>
      <c r="AN25" s="11">
        <v>2000</v>
      </c>
      <c r="AO25" s="11">
        <v>5</v>
      </c>
      <c r="AP25" s="11">
        <v>0</v>
      </c>
      <c r="AQ25" s="11">
        <v>340</v>
      </c>
      <c r="AR25" s="11">
        <v>-400</v>
      </c>
      <c r="AS25" s="11">
        <v>740</v>
      </c>
      <c r="AT25" s="11">
        <v>1595</v>
      </c>
      <c r="AU25" t="s">
        <v>74</v>
      </c>
      <c r="AW25" s="11">
        <v>0</v>
      </c>
      <c r="AX25" s="11">
        <v>0</v>
      </c>
    </row>
    <row r="26" ht="12.75">
      <c r="A26">
        <v>20</v>
      </c>
      <c r="B26" t="s">
        <v>153</v>
      </c>
      <c r="C26" t="s">
        <v>154</v>
      </c>
      <c r="D26" t="s">
        <v>83</v>
      </c>
      <c r="E26" t="s">
        <v>84</v>
      </c>
      <c r="F26" t="s">
        <v>85</v>
      </c>
      <c r="G26" t="s">
        <v>86</v>
      </c>
      <c r="H26" t="s">
        <v>99</v>
      </c>
      <c r="I26" t="s">
        <v>100</v>
      </c>
      <c r="J26" t="s">
        <v>155</v>
      </c>
      <c r="K26" s="10">
        <v>44728</v>
      </c>
      <c r="L26" s="11">
        <v>1500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AF26" s="11">
        <v>0</v>
      </c>
      <c r="AJ26" s="11">
        <v>-4.5</v>
      </c>
      <c r="AL26" s="11">
        <v>0</v>
      </c>
      <c r="AM26" s="11">
        <v>1500</v>
      </c>
      <c r="AN26" s="11">
        <v>1500</v>
      </c>
      <c r="AO26" s="11">
        <v>3.75</v>
      </c>
      <c r="AP26" s="11">
        <v>900</v>
      </c>
      <c r="AQ26" s="11">
        <v>0</v>
      </c>
      <c r="AR26" s="11">
        <v>0</v>
      </c>
      <c r="AS26" s="11">
        <v>0</v>
      </c>
      <c r="AT26" s="11">
        <v>1495.5</v>
      </c>
      <c r="AU26" t="s">
        <v>74</v>
      </c>
      <c r="AW26" s="11">
        <v>0</v>
      </c>
      <c r="AX26" s="11">
        <v>0</v>
      </c>
    </row>
    <row r="27" ht="12.75">
      <c r="A27">
        <v>21</v>
      </c>
      <c r="B27" t="s">
        <v>156</v>
      </c>
      <c r="C27" t="s">
        <v>157</v>
      </c>
      <c r="D27" t="s">
        <v>120</v>
      </c>
      <c r="E27" t="s">
        <v>121</v>
      </c>
      <c r="F27" t="s">
        <v>85</v>
      </c>
      <c r="G27" t="s">
        <v>86</v>
      </c>
      <c r="H27" t="s">
        <v>128</v>
      </c>
      <c r="I27" t="s">
        <v>129</v>
      </c>
      <c r="J27" t="s">
        <v>158</v>
      </c>
      <c r="K27" s="10">
        <v>44733</v>
      </c>
      <c r="L27" s="11">
        <v>2900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AF27" s="11">
        <v>0</v>
      </c>
      <c r="AL27" s="11">
        <v>0</v>
      </c>
      <c r="AM27" s="11">
        <v>2900</v>
      </c>
      <c r="AN27" s="11">
        <v>2900</v>
      </c>
      <c r="AO27" s="11">
        <v>7.25</v>
      </c>
      <c r="AP27" s="11">
        <v>900</v>
      </c>
      <c r="AQ27" s="11">
        <v>0</v>
      </c>
      <c r="AR27" s="11">
        <v>0</v>
      </c>
      <c r="AS27" s="11">
        <v>0</v>
      </c>
      <c r="AT27" s="11">
        <v>2900</v>
      </c>
      <c r="AU27" t="s">
        <v>74</v>
      </c>
      <c r="AW27" s="11">
        <v>0</v>
      </c>
      <c r="AX27" s="11">
        <v>0</v>
      </c>
    </row>
    <row r="28" ht="12.75">
      <c r="A28">
        <v>22</v>
      </c>
      <c r="B28" t="s">
        <v>159</v>
      </c>
      <c r="C28" t="s">
        <v>160</v>
      </c>
      <c r="D28" t="s">
        <v>120</v>
      </c>
      <c r="E28" t="s">
        <v>121</v>
      </c>
      <c r="F28" t="s">
        <v>85</v>
      </c>
      <c r="G28" t="s">
        <v>86</v>
      </c>
      <c r="H28" t="s">
        <v>99</v>
      </c>
      <c r="I28" t="s">
        <v>100</v>
      </c>
      <c r="J28" t="s">
        <v>161</v>
      </c>
      <c r="K28" s="10">
        <v>44739</v>
      </c>
      <c r="L28" s="11">
        <v>1600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100</v>
      </c>
      <c r="AF28" s="11">
        <v>-1700</v>
      </c>
      <c r="AL28" s="11">
        <v>0</v>
      </c>
      <c r="AM28" s="11">
        <v>0</v>
      </c>
      <c r="AN28" s="11">
        <v>0</v>
      </c>
      <c r="AO28" s="11">
        <v>0</v>
      </c>
      <c r="AP28" s="11">
        <v>900</v>
      </c>
      <c r="AQ28" s="11">
        <v>0</v>
      </c>
      <c r="AR28" s="11">
        <v>0</v>
      </c>
      <c r="AS28" s="11">
        <v>0</v>
      </c>
      <c r="AT28" s="11">
        <v>0</v>
      </c>
      <c r="AW28" s="11">
        <v>0</v>
      </c>
      <c r="AX28" s="11">
        <v>0</v>
      </c>
    </row>
    <row r="29" ht="12.75">
      <c r="A29">
        <v>23</v>
      </c>
      <c r="B29" t="s">
        <v>162</v>
      </c>
      <c r="C29" t="s">
        <v>163</v>
      </c>
      <c r="D29" t="s">
        <v>120</v>
      </c>
      <c r="E29" t="s">
        <v>121</v>
      </c>
      <c r="F29" t="s">
        <v>85</v>
      </c>
      <c r="G29" t="s">
        <v>86</v>
      </c>
      <c r="H29" t="s">
        <v>87</v>
      </c>
      <c r="I29" t="s">
        <v>88</v>
      </c>
      <c r="J29" t="s">
        <v>164</v>
      </c>
      <c r="K29" s="10">
        <v>44743</v>
      </c>
      <c r="L29" s="11">
        <v>7000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AF29" s="11">
        <v>0</v>
      </c>
      <c r="AL29" s="11">
        <v>0</v>
      </c>
      <c r="AM29" s="11">
        <v>7000</v>
      </c>
      <c r="AN29" s="11">
        <v>7000</v>
      </c>
      <c r="AO29" s="11">
        <v>11.25</v>
      </c>
      <c r="AP29" s="11">
        <v>300</v>
      </c>
      <c r="AQ29" s="11">
        <v>0</v>
      </c>
      <c r="AR29" s="11">
        <v>0</v>
      </c>
      <c r="AS29" s="11">
        <v>0</v>
      </c>
      <c r="AT29" s="11">
        <v>7000</v>
      </c>
      <c r="AU29" t="s">
        <v>74</v>
      </c>
      <c r="AW29" s="11">
        <v>0</v>
      </c>
      <c r="AX29" s="11">
        <v>0</v>
      </c>
    </row>
    <row r="30" ht="12.75">
      <c r="A30">
        <v>24</v>
      </c>
      <c r="B30" t="s">
        <v>165</v>
      </c>
      <c r="C30" t="s">
        <v>166</v>
      </c>
      <c r="D30" t="s">
        <v>83</v>
      </c>
      <c r="E30" t="s">
        <v>84</v>
      </c>
      <c r="F30" t="s">
        <v>85</v>
      </c>
      <c r="G30" t="s">
        <v>86</v>
      </c>
      <c r="H30" t="s">
        <v>99</v>
      </c>
      <c r="I30" t="s">
        <v>100</v>
      </c>
      <c r="J30" t="s">
        <v>167</v>
      </c>
      <c r="K30" s="10">
        <v>44768</v>
      </c>
      <c r="L30" s="11">
        <v>1500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AF30" s="11">
        <v>0</v>
      </c>
      <c r="AJ30" s="11">
        <v>-4.5</v>
      </c>
      <c r="AL30" s="11">
        <v>0</v>
      </c>
      <c r="AM30" s="11">
        <v>1500</v>
      </c>
      <c r="AN30" s="11">
        <v>1500</v>
      </c>
      <c r="AO30" s="11">
        <v>3.75</v>
      </c>
      <c r="AP30" s="11">
        <v>500</v>
      </c>
      <c r="AQ30" s="11">
        <v>0</v>
      </c>
      <c r="AR30" s="11">
        <v>0</v>
      </c>
      <c r="AS30" s="11">
        <v>0</v>
      </c>
      <c r="AT30" s="11">
        <v>1495.5</v>
      </c>
      <c r="AU30" t="s">
        <v>74</v>
      </c>
      <c r="AW30" s="11">
        <v>0</v>
      </c>
      <c r="AX30" s="11">
        <v>0</v>
      </c>
    </row>
    <row r="31" ht="12.75">
      <c r="A31">
        <v>25</v>
      </c>
      <c r="B31" t="s">
        <v>168</v>
      </c>
      <c r="C31" t="s">
        <v>169</v>
      </c>
      <c r="D31" t="s">
        <v>83</v>
      </c>
      <c r="E31" t="s">
        <v>84</v>
      </c>
      <c r="F31" t="s">
        <v>85</v>
      </c>
      <c r="G31" t="s">
        <v>86</v>
      </c>
      <c r="H31" t="s">
        <v>99</v>
      </c>
      <c r="I31" t="s">
        <v>100</v>
      </c>
      <c r="J31" t="s">
        <v>170</v>
      </c>
      <c r="K31" s="10">
        <v>44830</v>
      </c>
      <c r="L31" s="11">
        <v>2200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AF31" s="11">
        <v>-1056</v>
      </c>
      <c r="AL31" s="11">
        <v>0</v>
      </c>
      <c r="AM31" s="11">
        <v>1144</v>
      </c>
      <c r="AN31" s="11">
        <v>1144</v>
      </c>
      <c r="AO31" s="11">
        <v>2.86</v>
      </c>
      <c r="AP31" s="11">
        <v>500</v>
      </c>
      <c r="AQ31" s="11">
        <v>0</v>
      </c>
      <c r="AR31" s="11">
        <v>0</v>
      </c>
      <c r="AS31" s="11">
        <v>0</v>
      </c>
      <c r="AT31" s="11">
        <v>1144</v>
      </c>
      <c r="AU31" t="s">
        <v>74</v>
      </c>
      <c r="AW31" s="11">
        <v>0</v>
      </c>
      <c r="AX31" s="11">
        <v>0</v>
      </c>
    </row>
    <row r="32" ht="12.75">
      <c r="A32">
        <v>26</v>
      </c>
      <c r="B32" t="s">
        <v>171</v>
      </c>
      <c r="C32" t="s">
        <v>172</v>
      </c>
      <c r="D32" t="s">
        <v>97</v>
      </c>
      <c r="E32" t="s">
        <v>98</v>
      </c>
      <c r="F32" t="s">
        <v>85</v>
      </c>
      <c r="G32" t="s">
        <v>86</v>
      </c>
      <c r="H32" t="s">
        <v>99</v>
      </c>
      <c r="I32" t="s">
        <v>100</v>
      </c>
      <c r="J32" t="s">
        <v>173</v>
      </c>
      <c r="K32" s="10">
        <v>44958</v>
      </c>
      <c r="L32" s="11">
        <v>1200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AF32" s="11">
        <v>0</v>
      </c>
      <c r="AL32" s="11">
        <v>0</v>
      </c>
      <c r="AM32" s="11">
        <v>1200</v>
      </c>
      <c r="AN32" s="11">
        <v>1200</v>
      </c>
      <c r="AO32" s="11">
        <v>3</v>
      </c>
      <c r="AP32" s="11">
        <v>900</v>
      </c>
      <c r="AQ32" s="11">
        <v>0</v>
      </c>
      <c r="AR32" s="11">
        <v>0</v>
      </c>
      <c r="AS32" s="11">
        <v>0</v>
      </c>
      <c r="AT32" s="11">
        <v>1200</v>
      </c>
      <c r="AU32" t="s">
        <v>74</v>
      </c>
      <c r="AW32" s="11">
        <v>0</v>
      </c>
      <c r="AX32" s="11">
        <v>0</v>
      </c>
    </row>
    <row r="33" ht="12.75">
      <c r="A33">
        <v>27</v>
      </c>
      <c r="B33" t="s">
        <v>174</v>
      </c>
      <c r="C33" t="s">
        <v>175</v>
      </c>
      <c r="D33" t="s">
        <v>145</v>
      </c>
      <c r="E33" t="s">
        <v>146</v>
      </c>
      <c r="F33" t="s">
        <v>85</v>
      </c>
      <c r="G33" t="s">
        <v>86</v>
      </c>
      <c r="H33" t="s">
        <v>99</v>
      </c>
      <c r="I33" t="s">
        <v>100</v>
      </c>
      <c r="J33" t="s">
        <v>176</v>
      </c>
      <c r="K33" s="10">
        <v>44958</v>
      </c>
      <c r="L33" s="11">
        <v>1700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Z33" s="11">
        <v>-300</v>
      </c>
      <c r="AF33" s="11">
        <v>0</v>
      </c>
      <c r="AL33" s="11">
        <v>0</v>
      </c>
      <c r="AM33" s="11">
        <v>1700</v>
      </c>
      <c r="AN33" s="11">
        <v>1700</v>
      </c>
      <c r="AO33" s="11">
        <v>4.25</v>
      </c>
      <c r="AP33" s="11">
        <v>900</v>
      </c>
      <c r="AQ33" s="11">
        <v>0</v>
      </c>
      <c r="AR33" s="11">
        <v>0</v>
      </c>
      <c r="AS33" s="11">
        <v>0</v>
      </c>
      <c r="AT33" s="11">
        <v>1400</v>
      </c>
      <c r="AU33" t="s">
        <v>74</v>
      </c>
      <c r="AW33" s="11">
        <v>0</v>
      </c>
      <c r="AX33" s="11">
        <v>0</v>
      </c>
    </row>
    <row r="34" ht="12.75">
      <c r="A34">
        <v>28</v>
      </c>
      <c r="B34" t="s">
        <v>177</v>
      </c>
      <c r="C34" t="s">
        <v>178</v>
      </c>
      <c r="D34" t="s">
        <v>120</v>
      </c>
      <c r="E34" t="s">
        <v>121</v>
      </c>
      <c r="F34" t="s">
        <v>69</v>
      </c>
      <c r="G34" t="s">
        <v>70</v>
      </c>
      <c r="H34" t="s">
        <v>87</v>
      </c>
      <c r="I34" t="s">
        <v>88</v>
      </c>
      <c r="J34" t="s">
        <v>179</v>
      </c>
      <c r="K34" s="10">
        <v>44952</v>
      </c>
      <c r="L34" s="11">
        <v>7250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AF34" s="11">
        <v>0</v>
      </c>
      <c r="AH34" s="11">
        <v>-2</v>
      </c>
      <c r="AL34" s="11">
        <v>0</v>
      </c>
      <c r="AM34" s="11">
        <v>7250</v>
      </c>
      <c r="AN34" s="11">
        <v>7250</v>
      </c>
      <c r="AO34" s="11">
        <v>11.25</v>
      </c>
      <c r="AP34" s="11">
        <v>0</v>
      </c>
      <c r="AQ34" s="11">
        <v>1233</v>
      </c>
      <c r="AR34" s="11">
        <v>-1450</v>
      </c>
      <c r="AS34" s="11">
        <v>2683</v>
      </c>
      <c r="AT34" s="11">
        <v>5798</v>
      </c>
      <c r="AU34" t="s">
        <v>74</v>
      </c>
      <c r="AW34" s="11">
        <v>0</v>
      </c>
      <c r="AX34" s="11">
        <v>0</v>
      </c>
    </row>
    <row r="35" ht="12.75">
      <c r="A35">
        <v>29</v>
      </c>
      <c r="B35" t="s">
        <v>180</v>
      </c>
      <c r="C35" t="s">
        <v>181</v>
      </c>
      <c r="D35" t="s">
        <v>97</v>
      </c>
      <c r="E35" t="s">
        <v>98</v>
      </c>
      <c r="F35" t="s">
        <v>85</v>
      </c>
      <c r="G35" t="s">
        <v>86</v>
      </c>
      <c r="H35" t="s">
        <v>99</v>
      </c>
      <c r="I35" t="s">
        <v>100</v>
      </c>
      <c r="J35" t="s">
        <v>182</v>
      </c>
      <c r="K35" s="10">
        <v>45000</v>
      </c>
      <c r="L35" s="11">
        <v>1100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AF35" s="11">
        <v>0</v>
      </c>
      <c r="AL35" s="11">
        <v>0</v>
      </c>
      <c r="AM35" s="11">
        <v>1100</v>
      </c>
      <c r="AN35" s="11">
        <v>1100</v>
      </c>
      <c r="AO35" s="11">
        <v>2.75</v>
      </c>
      <c r="AP35" s="11">
        <v>900</v>
      </c>
      <c r="AQ35" s="11">
        <v>0</v>
      </c>
      <c r="AR35" s="11">
        <v>0</v>
      </c>
      <c r="AS35" s="11">
        <v>0</v>
      </c>
      <c r="AT35" s="11">
        <v>1100</v>
      </c>
      <c r="AU35" t="s">
        <v>74</v>
      </c>
      <c r="AW35" s="11">
        <v>0</v>
      </c>
      <c r="AX35" s="11">
        <v>0</v>
      </c>
    </row>
    <row r="36" ht="12.75">
      <c r="A36">
        <v>30</v>
      </c>
      <c r="B36" t="s">
        <v>183</v>
      </c>
      <c r="C36" t="s">
        <v>184</v>
      </c>
      <c r="D36" t="s">
        <v>97</v>
      </c>
      <c r="E36" t="s">
        <v>98</v>
      </c>
      <c r="F36" t="s">
        <v>85</v>
      </c>
      <c r="G36" t="s">
        <v>86</v>
      </c>
      <c r="H36" t="s">
        <v>87</v>
      </c>
      <c r="I36" t="s">
        <v>88</v>
      </c>
      <c r="J36" t="s">
        <v>185</v>
      </c>
      <c r="K36" s="10">
        <v>45000</v>
      </c>
      <c r="L36" s="11">
        <v>4347.83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AD36" s="11">
        <v>-158.18</v>
      </c>
      <c r="AE36" s="11">
        <v>-1089.16</v>
      </c>
      <c r="AF36" s="11">
        <v>0</v>
      </c>
      <c r="AL36" s="11">
        <v>0</v>
      </c>
      <c r="AM36" s="11">
        <v>4347.83</v>
      </c>
      <c r="AN36" s="11">
        <v>4347.83</v>
      </c>
      <c r="AO36" s="11">
        <v>10.87</v>
      </c>
      <c r="AP36" s="11">
        <v>276.36</v>
      </c>
      <c r="AQ36" s="11">
        <v>0</v>
      </c>
      <c r="AR36" s="11">
        <v>0</v>
      </c>
      <c r="AS36" s="11">
        <v>0</v>
      </c>
      <c r="AT36" s="11">
        <v>3100.49</v>
      </c>
      <c r="AU36" t="s">
        <v>74</v>
      </c>
      <c r="AW36" s="11">
        <v>0</v>
      </c>
      <c r="AX36" s="11">
        <v>0</v>
      </c>
    </row>
    <row r="37" ht="12.75">
      <c r="A37">
        <v>31</v>
      </c>
      <c r="B37" t="s">
        <v>186</v>
      </c>
      <c r="C37" t="s">
        <v>187</v>
      </c>
      <c r="D37" t="s">
        <v>188</v>
      </c>
      <c r="E37" t="s">
        <v>189</v>
      </c>
      <c r="F37" t="s">
        <v>69</v>
      </c>
      <c r="G37" t="s">
        <v>70</v>
      </c>
      <c r="H37" t="s">
        <v>87</v>
      </c>
      <c r="I37" t="s">
        <v>88</v>
      </c>
      <c r="J37" t="s">
        <v>190</v>
      </c>
      <c r="K37" s="10">
        <v>45846</v>
      </c>
      <c r="L37" s="11">
        <v>5478.26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AF37" s="11">
        <v>0</v>
      </c>
      <c r="AK37" s="11">
        <v>-9</v>
      </c>
      <c r="AL37" s="11">
        <v>0</v>
      </c>
      <c r="AM37" s="11">
        <v>5478.26</v>
      </c>
      <c r="AN37" s="11">
        <v>5478.26</v>
      </c>
      <c r="AO37" s="11">
        <v>11.25</v>
      </c>
      <c r="AP37" s="11">
        <v>0</v>
      </c>
      <c r="AQ37" s="11">
        <v>932</v>
      </c>
      <c r="AR37" s="11">
        <v>-1095</v>
      </c>
      <c r="AS37" s="11">
        <v>2027</v>
      </c>
      <c r="AT37" s="11">
        <v>4374.26</v>
      </c>
      <c r="AU37" t="s">
        <v>74</v>
      </c>
      <c r="AW37" s="11">
        <v>0</v>
      </c>
      <c r="AX37" s="11">
        <v>0</v>
      </c>
    </row>
    <row r="38" ht="12.75">
      <c r="A38">
        <v>32</v>
      </c>
      <c r="B38" t="s">
        <v>191</v>
      </c>
      <c r="C38" t="s">
        <v>192</v>
      </c>
      <c r="D38" t="s">
        <v>97</v>
      </c>
      <c r="E38" t="s">
        <v>98</v>
      </c>
      <c r="F38" t="s">
        <v>85</v>
      </c>
      <c r="G38" t="s">
        <v>86</v>
      </c>
      <c r="H38" t="s">
        <v>99</v>
      </c>
      <c r="I38" t="s">
        <v>100</v>
      </c>
      <c r="J38" t="s">
        <v>193</v>
      </c>
      <c r="K38" s="10">
        <v>45108</v>
      </c>
      <c r="L38" s="11">
        <v>1200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100</v>
      </c>
      <c r="X38" s="11">
        <v>300</v>
      </c>
      <c r="AF38" s="11">
        <v>-520</v>
      </c>
      <c r="AL38" s="11">
        <v>0</v>
      </c>
      <c r="AM38" s="11">
        <v>1080</v>
      </c>
      <c r="AN38" s="11">
        <v>780</v>
      </c>
      <c r="AO38" s="11">
        <v>2</v>
      </c>
      <c r="AP38" s="11">
        <v>500</v>
      </c>
      <c r="AQ38" s="11">
        <v>0</v>
      </c>
      <c r="AR38" s="11">
        <v>0</v>
      </c>
      <c r="AS38" s="11">
        <v>0</v>
      </c>
      <c r="AT38" s="11">
        <v>1080</v>
      </c>
      <c r="AU38" t="s">
        <v>74</v>
      </c>
      <c r="AW38" s="11">
        <v>0</v>
      </c>
      <c r="AX38" s="11">
        <v>0</v>
      </c>
    </row>
    <row r="39" ht="12.75">
      <c r="A39">
        <v>33</v>
      </c>
      <c r="B39" t="s">
        <v>194</v>
      </c>
      <c r="C39" t="s">
        <v>195</v>
      </c>
      <c r="D39" t="s">
        <v>83</v>
      </c>
      <c r="E39" t="s">
        <v>84</v>
      </c>
      <c r="F39" t="s">
        <v>85</v>
      </c>
      <c r="G39" t="s">
        <v>86</v>
      </c>
      <c r="H39" t="s">
        <v>92</v>
      </c>
      <c r="I39" t="s">
        <v>93</v>
      </c>
      <c r="J39" t="s">
        <v>196</v>
      </c>
      <c r="K39" s="10">
        <v>45231</v>
      </c>
      <c r="L39" s="11">
        <v>1600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X39" s="11">
        <v>300</v>
      </c>
      <c r="AF39" s="11">
        <v>0</v>
      </c>
      <c r="AL39" s="11">
        <v>0</v>
      </c>
      <c r="AM39" s="11">
        <v>1900</v>
      </c>
      <c r="AN39" s="11">
        <v>1600</v>
      </c>
      <c r="AO39" s="11">
        <v>4</v>
      </c>
      <c r="AP39" s="11">
        <v>700</v>
      </c>
      <c r="AQ39" s="11">
        <v>0</v>
      </c>
      <c r="AR39" s="11">
        <v>0</v>
      </c>
      <c r="AS39" s="11">
        <v>0</v>
      </c>
      <c r="AT39" s="11">
        <v>1900</v>
      </c>
      <c r="AU39" t="s">
        <v>74</v>
      </c>
      <c r="AW39" s="11">
        <v>0</v>
      </c>
      <c r="AX39" s="11">
        <v>0</v>
      </c>
    </row>
    <row r="40" ht="12.75">
      <c r="A40">
        <v>34</v>
      </c>
      <c r="B40" t="s">
        <v>197</v>
      </c>
      <c r="C40" t="s">
        <v>198</v>
      </c>
      <c r="D40" t="s">
        <v>199</v>
      </c>
      <c r="E40" t="s">
        <v>200</v>
      </c>
      <c r="F40" t="s">
        <v>69</v>
      </c>
      <c r="G40" t="s">
        <v>70</v>
      </c>
      <c r="H40" t="s">
        <v>87</v>
      </c>
      <c r="I40" t="s">
        <v>88</v>
      </c>
      <c r="J40" t="s">
        <v>201</v>
      </c>
      <c r="K40" s="10">
        <v>45231</v>
      </c>
      <c r="L40" s="11">
        <v>4300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AF40" s="11">
        <v>0</v>
      </c>
      <c r="AH40" s="11">
        <v>-1.5</v>
      </c>
      <c r="AL40" s="11">
        <v>0</v>
      </c>
      <c r="AM40" s="11">
        <v>4300</v>
      </c>
      <c r="AN40" s="11">
        <v>4300</v>
      </c>
      <c r="AO40" s="11">
        <v>10.75</v>
      </c>
      <c r="AP40" s="11">
        <v>0</v>
      </c>
      <c r="AQ40" s="11">
        <v>731</v>
      </c>
      <c r="AR40" s="11">
        <v>-860</v>
      </c>
      <c r="AS40" s="11">
        <v>1591</v>
      </c>
      <c r="AT40" s="11">
        <v>3438.5</v>
      </c>
      <c r="AU40" t="s">
        <v>74</v>
      </c>
      <c r="AW40" s="11">
        <v>0</v>
      </c>
      <c r="AX40" s="11">
        <v>0</v>
      </c>
    </row>
    <row r="41" ht="12.75">
      <c r="A41">
        <v>35</v>
      </c>
      <c r="B41" t="s">
        <v>202</v>
      </c>
      <c r="C41" t="s">
        <v>203</v>
      </c>
      <c r="D41" t="s">
        <v>83</v>
      </c>
      <c r="E41" t="s">
        <v>84</v>
      </c>
      <c r="F41" t="s">
        <v>85</v>
      </c>
      <c r="G41" t="s">
        <v>86</v>
      </c>
      <c r="H41" t="s">
        <v>99</v>
      </c>
      <c r="I41" t="s">
        <v>100</v>
      </c>
      <c r="J41" t="s">
        <v>204</v>
      </c>
      <c r="K41" s="10">
        <v>45250</v>
      </c>
      <c r="L41" s="11">
        <v>1200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100</v>
      </c>
      <c r="AF41" s="11">
        <v>0</v>
      </c>
      <c r="AL41" s="11">
        <v>0</v>
      </c>
      <c r="AM41" s="11">
        <v>1300</v>
      </c>
      <c r="AN41" s="11">
        <v>1300</v>
      </c>
      <c r="AO41" s="11">
        <v>3.25</v>
      </c>
      <c r="AP41" s="11">
        <v>900</v>
      </c>
      <c r="AQ41" s="11">
        <v>0</v>
      </c>
      <c r="AR41" s="11">
        <v>0</v>
      </c>
      <c r="AS41" s="11">
        <v>0</v>
      </c>
      <c r="AT41" s="11">
        <v>1300</v>
      </c>
      <c r="AU41" t="s">
        <v>74</v>
      </c>
      <c r="AW41" s="11">
        <v>0</v>
      </c>
      <c r="AX41" s="11">
        <v>0</v>
      </c>
    </row>
    <row r="42" ht="12.75">
      <c r="A42">
        <v>36</v>
      </c>
      <c r="B42" t="s">
        <v>205</v>
      </c>
      <c r="C42" t="s">
        <v>206</v>
      </c>
      <c r="D42" t="s">
        <v>97</v>
      </c>
      <c r="E42" t="s">
        <v>98</v>
      </c>
      <c r="F42" t="s">
        <v>85</v>
      </c>
      <c r="G42" t="s">
        <v>86</v>
      </c>
      <c r="H42" t="s">
        <v>128</v>
      </c>
      <c r="I42" t="s">
        <v>129</v>
      </c>
      <c r="J42" t="s">
        <v>207</v>
      </c>
      <c r="K42" s="10">
        <v>45250</v>
      </c>
      <c r="L42" s="11">
        <v>2600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AF42" s="11">
        <v>0</v>
      </c>
      <c r="AL42" s="11">
        <v>0</v>
      </c>
      <c r="AM42" s="11">
        <v>2600</v>
      </c>
      <c r="AN42" s="11">
        <v>2600</v>
      </c>
      <c r="AO42" s="11">
        <v>6.5</v>
      </c>
      <c r="AP42" s="11">
        <v>300</v>
      </c>
      <c r="AQ42" s="11">
        <v>0</v>
      </c>
      <c r="AR42" s="11">
        <v>0</v>
      </c>
      <c r="AS42" s="11">
        <v>0</v>
      </c>
      <c r="AT42" s="11">
        <v>2600</v>
      </c>
      <c r="AU42" t="s">
        <v>74</v>
      </c>
      <c r="AW42" s="11">
        <v>0</v>
      </c>
      <c r="AX42" s="11">
        <v>0</v>
      </c>
    </row>
    <row r="43" ht="12.75">
      <c r="A43">
        <v>37</v>
      </c>
      <c r="B43" t="s">
        <v>208</v>
      </c>
      <c r="C43" t="s">
        <v>209</v>
      </c>
      <c r="D43" t="s">
        <v>97</v>
      </c>
      <c r="E43" t="s">
        <v>98</v>
      </c>
      <c r="F43" t="s">
        <v>85</v>
      </c>
      <c r="G43" t="s">
        <v>86</v>
      </c>
      <c r="H43" t="s">
        <v>99</v>
      </c>
      <c r="I43" t="s">
        <v>100</v>
      </c>
      <c r="J43" t="s">
        <v>210</v>
      </c>
      <c r="K43" s="10">
        <v>45261</v>
      </c>
      <c r="L43" s="11">
        <v>1100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AF43" s="11">
        <v>-1100</v>
      </c>
      <c r="AL43" s="11">
        <v>0</v>
      </c>
      <c r="AM43" s="11">
        <v>0</v>
      </c>
      <c r="AN43" s="11">
        <v>0</v>
      </c>
      <c r="AO43" s="11">
        <v>0</v>
      </c>
      <c r="AP43" s="11">
        <v>900</v>
      </c>
      <c r="AQ43" s="11">
        <v>0</v>
      </c>
      <c r="AR43" s="11">
        <v>0</v>
      </c>
      <c r="AS43" s="11">
        <v>0</v>
      </c>
      <c r="AT43" s="11">
        <v>0</v>
      </c>
      <c r="AW43" s="11">
        <v>0</v>
      </c>
      <c r="AX43" s="11">
        <v>0</v>
      </c>
    </row>
    <row r="44" ht="12.75">
      <c r="A44">
        <v>38</v>
      </c>
      <c r="B44" t="s">
        <v>211</v>
      </c>
      <c r="C44" t="s">
        <v>212</v>
      </c>
      <c r="D44" t="s">
        <v>110</v>
      </c>
      <c r="E44" t="s">
        <v>111</v>
      </c>
      <c r="F44" t="s">
        <v>112</v>
      </c>
      <c r="G44" t="s">
        <v>113</v>
      </c>
      <c r="H44" t="s">
        <v>92</v>
      </c>
      <c r="I44" t="s">
        <v>93</v>
      </c>
      <c r="J44" t="s">
        <v>213</v>
      </c>
      <c r="K44" s="10">
        <v>45266</v>
      </c>
      <c r="L44" s="11">
        <v>3600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AF44" s="11">
        <v>0</v>
      </c>
      <c r="AL44" s="11">
        <v>0</v>
      </c>
      <c r="AM44" s="11">
        <v>3600</v>
      </c>
      <c r="AN44" s="11">
        <v>3600</v>
      </c>
      <c r="AO44" s="11">
        <v>9</v>
      </c>
      <c r="AP44" s="11">
        <v>0</v>
      </c>
      <c r="AQ44" s="11">
        <v>612</v>
      </c>
      <c r="AR44" s="11">
        <v>-720</v>
      </c>
      <c r="AS44" s="11">
        <v>1332</v>
      </c>
      <c r="AT44" s="11">
        <v>2880</v>
      </c>
      <c r="AU44" t="s">
        <v>74</v>
      </c>
      <c r="AW44" s="11">
        <v>0</v>
      </c>
      <c r="AX44" s="11">
        <v>0</v>
      </c>
    </row>
    <row r="45" ht="12.75">
      <c r="A45">
        <v>39</v>
      </c>
      <c r="B45" t="s">
        <v>214</v>
      </c>
      <c r="C45" t="s">
        <v>215</v>
      </c>
      <c r="D45" t="s">
        <v>83</v>
      </c>
      <c r="E45" t="s">
        <v>84</v>
      </c>
      <c r="F45" t="s">
        <v>85</v>
      </c>
      <c r="G45" t="s">
        <v>86</v>
      </c>
      <c r="H45" t="s">
        <v>99</v>
      </c>
      <c r="I45" t="s">
        <v>100</v>
      </c>
      <c r="J45" t="s">
        <v>216</v>
      </c>
      <c r="K45" s="10">
        <v>45273</v>
      </c>
      <c r="L45" s="11">
        <v>1200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AF45" s="11">
        <v>0</v>
      </c>
      <c r="AL45" s="11">
        <v>0</v>
      </c>
      <c r="AM45" s="11">
        <v>1200</v>
      </c>
      <c r="AN45" s="11">
        <v>1200</v>
      </c>
      <c r="AO45" s="11">
        <v>3</v>
      </c>
      <c r="AP45" s="11">
        <v>900</v>
      </c>
      <c r="AQ45" s="11">
        <v>0</v>
      </c>
      <c r="AR45" s="11">
        <v>0</v>
      </c>
      <c r="AS45" s="11">
        <v>0</v>
      </c>
      <c r="AT45" s="11">
        <v>1200</v>
      </c>
      <c r="AU45" t="s">
        <v>74</v>
      </c>
      <c r="AW45" s="11">
        <v>0</v>
      </c>
      <c r="AX45" s="11">
        <v>0</v>
      </c>
    </row>
    <row r="46" ht="12.75">
      <c r="A46">
        <v>40</v>
      </c>
      <c r="B46" t="s">
        <v>217</v>
      </c>
      <c r="C46" t="s">
        <v>218</v>
      </c>
      <c r="D46" t="s">
        <v>97</v>
      </c>
      <c r="E46" t="s">
        <v>98</v>
      </c>
      <c r="F46" t="s">
        <v>85</v>
      </c>
      <c r="G46" t="s">
        <v>86</v>
      </c>
      <c r="H46" t="s">
        <v>128</v>
      </c>
      <c r="I46" t="s">
        <v>129</v>
      </c>
      <c r="J46" t="s">
        <v>219</v>
      </c>
      <c r="K46" s="10">
        <v>45355</v>
      </c>
      <c r="L46" s="11">
        <v>3300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AC46" s="11">
        <v>-150</v>
      </c>
      <c r="AF46" s="11">
        <v>0</v>
      </c>
      <c r="AL46" s="11">
        <v>0</v>
      </c>
      <c r="AM46" s="11">
        <v>3300</v>
      </c>
      <c r="AN46" s="11">
        <v>3300</v>
      </c>
      <c r="AO46" s="11">
        <v>8.25</v>
      </c>
      <c r="AP46" s="11">
        <v>300</v>
      </c>
      <c r="AQ46" s="11">
        <v>0</v>
      </c>
      <c r="AR46" s="11">
        <v>0</v>
      </c>
      <c r="AS46" s="11">
        <v>0</v>
      </c>
      <c r="AT46" s="11">
        <v>3150</v>
      </c>
      <c r="AU46" t="s">
        <v>74</v>
      </c>
      <c r="AW46" s="11">
        <v>0</v>
      </c>
      <c r="AX46" s="11">
        <v>0</v>
      </c>
    </row>
    <row r="47" ht="12.75">
      <c r="A47">
        <v>41</v>
      </c>
      <c r="B47" t="s">
        <v>220</v>
      </c>
      <c r="C47" t="s">
        <v>221</v>
      </c>
      <c r="D47" t="s">
        <v>97</v>
      </c>
      <c r="E47" t="s">
        <v>98</v>
      </c>
      <c r="F47" t="s">
        <v>85</v>
      </c>
      <c r="G47" t="s">
        <v>86</v>
      </c>
      <c r="H47" t="s">
        <v>87</v>
      </c>
      <c r="I47" t="s">
        <v>88</v>
      </c>
      <c r="J47" t="s">
        <v>222</v>
      </c>
      <c r="K47" s="10">
        <v>45369</v>
      </c>
      <c r="L47" s="11">
        <v>4550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AF47" s="11">
        <v>0</v>
      </c>
      <c r="AL47" s="11">
        <v>0</v>
      </c>
      <c r="AM47" s="11">
        <v>4550</v>
      </c>
      <c r="AN47" s="11">
        <v>4550</v>
      </c>
      <c r="AO47" s="11">
        <v>11.25</v>
      </c>
      <c r="AP47" s="11">
        <v>550</v>
      </c>
      <c r="AQ47" s="11">
        <v>0</v>
      </c>
      <c r="AR47" s="11">
        <v>0</v>
      </c>
      <c r="AS47" s="11">
        <v>0</v>
      </c>
      <c r="AT47" s="11">
        <v>4550</v>
      </c>
      <c r="AU47" t="s">
        <v>74</v>
      </c>
      <c r="AW47" s="11">
        <v>0</v>
      </c>
      <c r="AX47" s="11">
        <v>0</v>
      </c>
    </row>
    <row r="48" ht="12.75">
      <c r="A48">
        <v>42</v>
      </c>
      <c r="B48" t="s">
        <v>223</v>
      </c>
      <c r="C48" t="s">
        <v>224</v>
      </c>
      <c r="D48" t="s">
        <v>83</v>
      </c>
      <c r="E48" t="s">
        <v>84</v>
      </c>
      <c r="F48" t="s">
        <v>69</v>
      </c>
      <c r="G48" t="s">
        <v>70</v>
      </c>
      <c r="H48" t="s">
        <v>92</v>
      </c>
      <c r="I48" t="s">
        <v>93</v>
      </c>
      <c r="J48" t="s">
        <v>225</v>
      </c>
      <c r="K48" s="10">
        <v>45386</v>
      </c>
      <c r="L48" s="11">
        <v>5000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AF48" s="11">
        <v>0</v>
      </c>
      <c r="AH48" s="11">
        <v>-1.5</v>
      </c>
      <c r="AL48" s="11">
        <v>0</v>
      </c>
      <c r="AM48" s="11">
        <v>5000</v>
      </c>
      <c r="AN48" s="11">
        <v>5000</v>
      </c>
      <c r="AO48" s="11">
        <v>11.25</v>
      </c>
      <c r="AP48" s="11">
        <v>0</v>
      </c>
      <c r="AQ48" s="11">
        <v>850</v>
      </c>
      <c r="AR48" s="11">
        <v>-1000</v>
      </c>
      <c r="AS48" s="11">
        <v>1850</v>
      </c>
      <c r="AT48" s="11">
        <v>3998.5</v>
      </c>
      <c r="AU48" t="s">
        <v>74</v>
      </c>
      <c r="AW48" s="11">
        <v>0</v>
      </c>
      <c r="AX48" s="11">
        <v>0</v>
      </c>
    </row>
    <row r="49" ht="12.75">
      <c r="A49">
        <v>43</v>
      </c>
      <c r="B49" t="s">
        <v>226</v>
      </c>
      <c r="C49" t="s">
        <v>227</v>
      </c>
      <c r="D49" t="s">
        <v>120</v>
      </c>
      <c r="E49" t="s">
        <v>121</v>
      </c>
      <c r="F49" t="s">
        <v>85</v>
      </c>
      <c r="G49" t="s">
        <v>86</v>
      </c>
      <c r="H49" t="s">
        <v>99</v>
      </c>
      <c r="I49" t="s">
        <v>100</v>
      </c>
      <c r="J49" t="s">
        <v>228</v>
      </c>
      <c r="K49" s="10">
        <v>45432</v>
      </c>
      <c r="L49" s="11">
        <v>1800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AF49" s="11">
        <v>-576</v>
      </c>
      <c r="AL49" s="11">
        <v>0</v>
      </c>
      <c r="AM49" s="11">
        <v>1224</v>
      </c>
      <c r="AN49" s="11">
        <v>1224</v>
      </c>
      <c r="AO49" s="11">
        <v>3.06</v>
      </c>
      <c r="AP49" s="11">
        <v>700</v>
      </c>
      <c r="AQ49" s="11">
        <v>0</v>
      </c>
      <c r="AR49" s="11">
        <v>0</v>
      </c>
      <c r="AS49" s="11">
        <v>0</v>
      </c>
      <c r="AT49" s="11">
        <v>1224</v>
      </c>
      <c r="AU49" t="s">
        <v>74</v>
      </c>
      <c r="AW49" s="11">
        <v>0</v>
      </c>
      <c r="AX49" s="11">
        <v>0</v>
      </c>
    </row>
    <row r="50" ht="12.75">
      <c r="A50">
        <v>44</v>
      </c>
      <c r="B50" t="s">
        <v>229</v>
      </c>
      <c r="C50" t="s">
        <v>230</v>
      </c>
      <c r="D50" t="s">
        <v>97</v>
      </c>
      <c r="E50" t="s">
        <v>98</v>
      </c>
      <c r="F50" t="s">
        <v>85</v>
      </c>
      <c r="G50" t="s">
        <v>86</v>
      </c>
      <c r="H50" t="s">
        <v>99</v>
      </c>
      <c r="I50" t="s">
        <v>100</v>
      </c>
      <c r="J50" t="s">
        <v>231</v>
      </c>
      <c r="K50" s="10">
        <v>45453</v>
      </c>
      <c r="L50" s="11">
        <v>1000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AF50" s="11">
        <v>-760</v>
      </c>
      <c r="AJ50" s="11">
        <v>-3</v>
      </c>
      <c r="AL50" s="11">
        <v>0</v>
      </c>
      <c r="AM50" s="11">
        <v>240</v>
      </c>
      <c r="AN50" s="11">
        <v>240</v>
      </c>
      <c r="AO50" s="11">
        <v>2</v>
      </c>
      <c r="AP50" s="11">
        <v>900</v>
      </c>
      <c r="AQ50" s="11">
        <v>0</v>
      </c>
      <c r="AR50" s="11">
        <v>0</v>
      </c>
      <c r="AS50" s="11">
        <v>0</v>
      </c>
      <c r="AT50" s="11">
        <v>237</v>
      </c>
      <c r="AU50" t="s">
        <v>74</v>
      </c>
      <c r="AW50" s="11">
        <v>0</v>
      </c>
      <c r="AX50" s="11">
        <v>0</v>
      </c>
    </row>
    <row r="51" ht="12.75">
      <c r="A51">
        <v>45</v>
      </c>
      <c r="B51" t="s">
        <v>232</v>
      </c>
      <c r="C51" t="s">
        <v>233</v>
      </c>
      <c r="D51" t="s">
        <v>67</v>
      </c>
      <c r="E51" t="s">
        <v>68</v>
      </c>
      <c r="F51" t="s">
        <v>69</v>
      </c>
      <c r="G51" t="s">
        <v>70</v>
      </c>
      <c r="H51" t="s">
        <v>71</v>
      </c>
      <c r="I51" t="s">
        <v>72</v>
      </c>
      <c r="J51" t="s">
        <v>234</v>
      </c>
      <c r="K51" s="10">
        <v>45474</v>
      </c>
      <c r="L51" s="11">
        <v>8500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AF51" s="11">
        <v>0</v>
      </c>
      <c r="AK51" s="11">
        <v>-12</v>
      </c>
      <c r="AL51" s="11">
        <v>0</v>
      </c>
      <c r="AM51" s="11">
        <v>8500</v>
      </c>
      <c r="AN51" s="11">
        <v>8500</v>
      </c>
      <c r="AO51" s="11">
        <v>11.25</v>
      </c>
      <c r="AP51" s="11">
        <v>0</v>
      </c>
      <c r="AQ51" s="11">
        <v>1258</v>
      </c>
      <c r="AR51" s="11">
        <v>-1480</v>
      </c>
      <c r="AS51" s="11">
        <v>2738</v>
      </c>
      <c r="AT51" s="11">
        <v>7008</v>
      </c>
      <c r="AU51" t="s">
        <v>74</v>
      </c>
      <c r="AW51" s="11">
        <v>0</v>
      </c>
      <c r="AX51" s="11">
        <v>0</v>
      </c>
    </row>
    <row r="52" ht="12.75">
      <c r="A52">
        <v>46</v>
      </c>
      <c r="B52" t="s">
        <v>235</v>
      </c>
      <c r="C52" t="s">
        <v>236</v>
      </c>
      <c r="D52" t="s">
        <v>97</v>
      </c>
      <c r="E52" t="s">
        <v>98</v>
      </c>
      <c r="F52" t="s">
        <v>85</v>
      </c>
      <c r="G52" t="s">
        <v>86</v>
      </c>
      <c r="H52" t="s">
        <v>99</v>
      </c>
      <c r="I52" t="s">
        <v>100</v>
      </c>
      <c r="J52" t="s">
        <v>237</v>
      </c>
      <c r="K52" s="10">
        <v>45495</v>
      </c>
      <c r="L52" s="11">
        <v>1000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AF52" s="11">
        <v>0</v>
      </c>
      <c r="AJ52" s="11">
        <v>-3</v>
      </c>
      <c r="AL52" s="11">
        <v>0</v>
      </c>
      <c r="AM52" s="11">
        <v>1000</v>
      </c>
      <c r="AN52" s="11">
        <v>1000</v>
      </c>
      <c r="AO52" s="11">
        <v>2.5</v>
      </c>
      <c r="AP52" s="11">
        <v>500</v>
      </c>
      <c r="AQ52" s="11">
        <v>0</v>
      </c>
      <c r="AR52" s="11">
        <v>0</v>
      </c>
      <c r="AS52" s="11">
        <v>0</v>
      </c>
      <c r="AT52" s="11">
        <v>997</v>
      </c>
      <c r="AU52" t="s">
        <v>74</v>
      </c>
      <c r="AW52" s="11">
        <v>0</v>
      </c>
      <c r="AX52" s="11">
        <v>0</v>
      </c>
    </row>
    <row r="53" ht="12.75">
      <c r="A53">
        <v>47</v>
      </c>
      <c r="B53" t="s">
        <v>238</v>
      </c>
      <c r="C53" t="s">
        <v>239</v>
      </c>
      <c r="D53" t="s">
        <v>188</v>
      </c>
      <c r="E53" t="s">
        <v>189</v>
      </c>
      <c r="F53" t="s">
        <v>69</v>
      </c>
      <c r="G53" t="s">
        <v>70</v>
      </c>
      <c r="H53" t="s">
        <v>92</v>
      </c>
      <c r="I53" t="s">
        <v>93</v>
      </c>
      <c r="J53" t="s">
        <v>240</v>
      </c>
      <c r="K53" s="10">
        <v>45502</v>
      </c>
      <c r="L53" s="11">
        <v>3850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AF53" s="11">
        <v>0</v>
      </c>
      <c r="AJ53" s="11">
        <v>-15</v>
      </c>
      <c r="AL53" s="11">
        <v>0</v>
      </c>
      <c r="AM53" s="11">
        <v>3850</v>
      </c>
      <c r="AN53" s="11">
        <v>3850</v>
      </c>
      <c r="AO53" s="11">
        <v>9.63</v>
      </c>
      <c r="AP53" s="11">
        <v>0</v>
      </c>
      <c r="AQ53" s="11">
        <v>655</v>
      </c>
      <c r="AR53" s="11">
        <v>-770</v>
      </c>
      <c r="AS53" s="11">
        <v>1425</v>
      </c>
      <c r="AT53" s="11">
        <v>3065</v>
      </c>
      <c r="AU53" t="s">
        <v>74</v>
      </c>
      <c r="AW53" s="11">
        <v>0</v>
      </c>
      <c r="AX53" s="11">
        <v>0</v>
      </c>
    </row>
    <row r="54" ht="12.75">
      <c r="A54">
        <v>48</v>
      </c>
      <c r="B54" t="s">
        <v>241</v>
      </c>
      <c r="C54" t="s">
        <v>242</v>
      </c>
      <c r="D54" t="s">
        <v>97</v>
      </c>
      <c r="E54" t="s">
        <v>98</v>
      </c>
      <c r="F54" t="s">
        <v>85</v>
      </c>
      <c r="G54" t="s">
        <v>86</v>
      </c>
      <c r="H54" t="s">
        <v>99</v>
      </c>
      <c r="I54" t="s">
        <v>100</v>
      </c>
      <c r="J54" t="s">
        <v>243</v>
      </c>
      <c r="K54" s="10">
        <v>45567</v>
      </c>
      <c r="L54" s="11">
        <v>2200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AF54" s="11">
        <v>0</v>
      </c>
      <c r="AJ54" s="11">
        <v>-6.5</v>
      </c>
      <c r="AL54" s="11">
        <v>0</v>
      </c>
      <c r="AM54" s="11">
        <v>2200</v>
      </c>
      <c r="AN54" s="11">
        <v>2200</v>
      </c>
      <c r="AO54" s="11">
        <v>5.5</v>
      </c>
      <c r="AP54" s="11">
        <v>500</v>
      </c>
      <c r="AQ54" s="11">
        <v>0</v>
      </c>
      <c r="AR54" s="11">
        <v>0</v>
      </c>
      <c r="AS54" s="11">
        <v>0</v>
      </c>
      <c r="AT54" s="11">
        <v>2193.5</v>
      </c>
      <c r="AU54" t="s">
        <v>74</v>
      </c>
      <c r="AW54" s="11">
        <v>0</v>
      </c>
      <c r="AX54" s="11">
        <v>0</v>
      </c>
    </row>
    <row r="55" ht="12.75">
      <c r="A55">
        <v>49</v>
      </c>
      <c r="B55" t="s">
        <v>244</v>
      </c>
      <c r="C55" t="s">
        <v>245</v>
      </c>
      <c r="D55" t="s">
        <v>97</v>
      </c>
      <c r="E55" t="s">
        <v>98</v>
      </c>
      <c r="F55" t="s">
        <v>85</v>
      </c>
      <c r="G55" t="s">
        <v>86</v>
      </c>
      <c r="H55" t="s">
        <v>99</v>
      </c>
      <c r="I55" t="s">
        <v>100</v>
      </c>
      <c r="J55" t="s">
        <v>246</v>
      </c>
      <c r="K55" s="10">
        <v>45544</v>
      </c>
      <c r="L55" s="11">
        <v>2000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100</v>
      </c>
      <c r="V55" s="11">
        <v>50</v>
      </c>
      <c r="AF55" s="11">
        <v>-588</v>
      </c>
      <c r="AL55" s="11">
        <v>0</v>
      </c>
      <c r="AM55" s="11">
        <v>1562</v>
      </c>
      <c r="AN55" s="11">
        <v>1562</v>
      </c>
      <c r="AO55" s="11">
        <v>3.91</v>
      </c>
      <c r="AP55" s="11">
        <v>900</v>
      </c>
      <c r="AQ55" s="11">
        <v>0</v>
      </c>
      <c r="AR55" s="11">
        <v>0</v>
      </c>
      <c r="AS55" s="11">
        <v>0</v>
      </c>
      <c r="AT55" s="11">
        <v>1562</v>
      </c>
      <c r="AU55" t="s">
        <v>247</v>
      </c>
      <c r="AW55" s="11">
        <v>0</v>
      </c>
      <c r="AX55" s="11">
        <v>0</v>
      </c>
    </row>
    <row r="56" ht="12.75">
      <c r="A56">
        <v>50</v>
      </c>
      <c r="B56" t="s">
        <v>248</v>
      </c>
      <c r="C56" t="s">
        <v>249</v>
      </c>
      <c r="D56" t="s">
        <v>97</v>
      </c>
      <c r="E56" t="s">
        <v>98</v>
      </c>
      <c r="F56" t="s">
        <v>85</v>
      </c>
      <c r="G56" t="s">
        <v>86</v>
      </c>
      <c r="H56" t="s">
        <v>99</v>
      </c>
      <c r="I56" t="s">
        <v>100</v>
      </c>
      <c r="J56" t="s">
        <v>250</v>
      </c>
      <c r="K56" s="10">
        <v>45621</v>
      </c>
      <c r="L56" s="11">
        <v>1800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AF56" s="11">
        <v>0</v>
      </c>
      <c r="AL56" s="11">
        <v>0</v>
      </c>
      <c r="AM56" s="11">
        <v>1800</v>
      </c>
      <c r="AN56" s="11">
        <v>1800</v>
      </c>
      <c r="AO56" s="11">
        <v>4.5</v>
      </c>
      <c r="AP56" s="11">
        <v>300</v>
      </c>
      <c r="AQ56" s="11">
        <v>0</v>
      </c>
      <c r="AR56" s="11">
        <v>0</v>
      </c>
      <c r="AS56" s="11">
        <v>0</v>
      </c>
      <c r="AT56" s="11">
        <v>1800</v>
      </c>
      <c r="AU56" t="s">
        <v>74</v>
      </c>
      <c r="AW56" s="11">
        <v>0</v>
      </c>
      <c r="AX56" s="11">
        <v>0</v>
      </c>
    </row>
    <row r="57" ht="12.75">
      <c r="A57">
        <v>51</v>
      </c>
      <c r="B57" t="s">
        <v>251</v>
      </c>
      <c r="C57" t="s">
        <v>252</v>
      </c>
      <c r="D57" t="s">
        <v>97</v>
      </c>
      <c r="E57" t="s">
        <v>98</v>
      </c>
      <c r="F57" t="s">
        <v>85</v>
      </c>
      <c r="G57" t="s">
        <v>86</v>
      </c>
      <c r="H57" t="s">
        <v>99</v>
      </c>
      <c r="I57" t="s">
        <v>100</v>
      </c>
      <c r="J57" t="s">
        <v>253</v>
      </c>
      <c r="K57" s="10">
        <v>45621</v>
      </c>
      <c r="L57" s="11">
        <v>1200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AF57" s="11">
        <v>0</v>
      </c>
      <c r="AL57" s="11">
        <v>0</v>
      </c>
      <c r="AM57" s="11">
        <v>1200</v>
      </c>
      <c r="AN57" s="11">
        <v>1200</v>
      </c>
      <c r="AO57" s="11">
        <v>3</v>
      </c>
      <c r="AP57" s="11">
        <v>900</v>
      </c>
      <c r="AQ57" s="11">
        <v>0</v>
      </c>
      <c r="AR57" s="11">
        <v>0</v>
      </c>
      <c r="AS57" s="11">
        <v>0</v>
      </c>
      <c r="AT57" s="11">
        <v>1200</v>
      </c>
      <c r="AU57" t="s">
        <v>74</v>
      </c>
      <c r="AW57" s="11">
        <v>0</v>
      </c>
      <c r="AX57" s="11">
        <v>0</v>
      </c>
    </row>
    <row r="58" ht="12.75">
      <c r="A58">
        <v>52</v>
      </c>
      <c r="B58" t="s">
        <v>254</v>
      </c>
      <c r="C58" t="s">
        <v>255</v>
      </c>
      <c r="D58" t="s">
        <v>97</v>
      </c>
      <c r="E58" t="s">
        <v>98</v>
      </c>
      <c r="F58" t="s">
        <v>256</v>
      </c>
      <c r="G58" t="s">
        <v>70</v>
      </c>
      <c r="H58" t="s">
        <v>87</v>
      </c>
      <c r="I58" t="s">
        <v>88</v>
      </c>
      <c r="J58" t="s">
        <v>257</v>
      </c>
      <c r="K58" s="10">
        <v>45621</v>
      </c>
      <c r="L58" s="11">
        <v>4000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AF58" s="11">
        <v>0</v>
      </c>
      <c r="AK58" s="11">
        <v>-7</v>
      </c>
      <c r="AL58" s="11">
        <v>0</v>
      </c>
      <c r="AM58" s="11">
        <v>4000</v>
      </c>
      <c r="AN58" s="11">
        <v>4000</v>
      </c>
      <c r="AO58" s="11">
        <v>10</v>
      </c>
      <c r="AP58" s="11">
        <v>0</v>
      </c>
      <c r="AQ58" s="11">
        <v>480</v>
      </c>
      <c r="AR58" s="11">
        <v>-460</v>
      </c>
      <c r="AS58" s="11">
        <v>940</v>
      </c>
      <c r="AT58" s="11">
        <v>3533</v>
      </c>
      <c r="AU58" t="s">
        <v>74</v>
      </c>
      <c r="AW58" s="11">
        <v>0</v>
      </c>
      <c r="AX58" s="11">
        <v>0</v>
      </c>
    </row>
    <row r="59" ht="12.75">
      <c r="A59">
        <v>53</v>
      </c>
      <c r="B59" t="s">
        <v>258</v>
      </c>
      <c r="C59" t="s">
        <v>259</v>
      </c>
      <c r="D59" t="s">
        <v>97</v>
      </c>
      <c r="E59" t="s">
        <v>98</v>
      </c>
      <c r="F59" t="s">
        <v>85</v>
      </c>
      <c r="G59" t="s">
        <v>86</v>
      </c>
      <c r="H59" t="s">
        <v>99</v>
      </c>
      <c r="I59" t="s">
        <v>100</v>
      </c>
      <c r="J59" t="s">
        <v>260</v>
      </c>
      <c r="K59" s="10">
        <v>45694</v>
      </c>
      <c r="L59" s="11">
        <v>1100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AF59" s="11">
        <v>-748</v>
      </c>
      <c r="AL59" s="11">
        <v>0</v>
      </c>
      <c r="AM59" s="11">
        <v>352</v>
      </c>
      <c r="AN59" s="11">
        <v>352</v>
      </c>
      <c r="AO59" s="11">
        <v>2</v>
      </c>
      <c r="AP59" s="11">
        <v>500</v>
      </c>
      <c r="AQ59" s="11">
        <v>0</v>
      </c>
      <c r="AR59" s="11">
        <v>0</v>
      </c>
      <c r="AS59" s="11">
        <v>0</v>
      </c>
      <c r="AT59" s="11">
        <v>352</v>
      </c>
      <c r="AU59" t="s">
        <v>74</v>
      </c>
      <c r="AW59" s="11">
        <v>0</v>
      </c>
      <c r="AX59" s="11">
        <v>0</v>
      </c>
    </row>
    <row r="60" ht="12.75">
      <c r="A60">
        <v>54</v>
      </c>
      <c r="B60" t="s">
        <v>261</v>
      </c>
      <c r="C60" t="s">
        <v>262</v>
      </c>
      <c r="D60" t="s">
        <v>97</v>
      </c>
      <c r="E60" t="s">
        <v>98</v>
      </c>
      <c r="F60" t="s">
        <v>85</v>
      </c>
      <c r="G60" t="s">
        <v>86</v>
      </c>
      <c r="H60" t="s">
        <v>99</v>
      </c>
      <c r="I60" t="s">
        <v>100</v>
      </c>
      <c r="J60" t="s">
        <v>263</v>
      </c>
      <c r="K60" s="10">
        <v>45698</v>
      </c>
      <c r="L60" s="11">
        <v>1100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X60" s="11">
        <v>900</v>
      </c>
      <c r="AF60" s="11">
        <v>-88</v>
      </c>
      <c r="AJ60" s="11">
        <v>-4.5</v>
      </c>
      <c r="AL60" s="11">
        <v>0</v>
      </c>
      <c r="AM60" s="11">
        <v>1912</v>
      </c>
      <c r="AN60" s="11">
        <v>1012</v>
      </c>
      <c r="AO60" s="11">
        <v>2.53</v>
      </c>
      <c r="AP60" s="11">
        <v>700</v>
      </c>
      <c r="AQ60" s="11">
        <v>0</v>
      </c>
      <c r="AR60" s="11">
        <v>0</v>
      </c>
      <c r="AS60" s="11">
        <v>0</v>
      </c>
      <c r="AT60" s="11">
        <v>1907.5</v>
      </c>
      <c r="AU60" t="s">
        <v>247</v>
      </c>
      <c r="AW60" s="11">
        <v>0</v>
      </c>
      <c r="AX60" s="11">
        <v>0</v>
      </c>
    </row>
    <row r="61" ht="12.75">
      <c r="A61">
        <v>55</v>
      </c>
      <c r="B61" t="s">
        <v>264</v>
      </c>
      <c r="C61" t="s">
        <v>265</v>
      </c>
      <c r="D61" t="s">
        <v>97</v>
      </c>
      <c r="E61" t="s">
        <v>98</v>
      </c>
      <c r="F61" t="s">
        <v>85</v>
      </c>
      <c r="G61" t="s">
        <v>86</v>
      </c>
      <c r="H61" t="s">
        <v>99</v>
      </c>
      <c r="I61" t="s">
        <v>100</v>
      </c>
      <c r="J61" t="s">
        <v>266</v>
      </c>
      <c r="K61" s="10">
        <v>45699</v>
      </c>
      <c r="L61" s="11">
        <v>1100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100</v>
      </c>
      <c r="AF61" s="11">
        <v>0</v>
      </c>
      <c r="AL61" s="11">
        <v>0</v>
      </c>
      <c r="AM61" s="11">
        <v>1200</v>
      </c>
      <c r="AN61" s="11">
        <v>1200</v>
      </c>
      <c r="AO61" s="11">
        <v>3</v>
      </c>
      <c r="AP61" s="11">
        <v>900</v>
      </c>
      <c r="AQ61" s="11">
        <v>0</v>
      </c>
      <c r="AR61" s="11">
        <v>0</v>
      </c>
      <c r="AS61" s="11">
        <v>0</v>
      </c>
      <c r="AT61" s="11">
        <v>1200</v>
      </c>
      <c r="AU61" t="s">
        <v>247</v>
      </c>
      <c r="AW61" s="11">
        <v>0</v>
      </c>
      <c r="AX61" s="11">
        <v>0</v>
      </c>
    </row>
    <row r="62" ht="12.75">
      <c r="A62">
        <v>56</v>
      </c>
      <c r="B62" t="s">
        <v>267</v>
      </c>
      <c r="C62" t="s">
        <v>268</v>
      </c>
      <c r="D62" t="s">
        <v>120</v>
      </c>
      <c r="E62" t="s">
        <v>121</v>
      </c>
      <c r="F62" t="s">
        <v>85</v>
      </c>
      <c r="G62" t="s">
        <v>86</v>
      </c>
      <c r="H62" t="s">
        <v>92</v>
      </c>
      <c r="I62" t="s">
        <v>93</v>
      </c>
      <c r="J62" t="s">
        <v>269</v>
      </c>
      <c r="K62" s="10">
        <v>45708</v>
      </c>
      <c r="L62" s="11">
        <v>4000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AA62" s="11">
        <v>-400</v>
      </c>
      <c r="AF62" s="11">
        <v>0</v>
      </c>
      <c r="AL62" s="11">
        <v>0</v>
      </c>
      <c r="AM62" s="11">
        <v>4000</v>
      </c>
      <c r="AN62" s="11">
        <v>4000</v>
      </c>
      <c r="AO62" s="11">
        <v>10</v>
      </c>
      <c r="AP62" s="11">
        <v>550</v>
      </c>
      <c r="AQ62" s="11">
        <v>0</v>
      </c>
      <c r="AR62" s="11">
        <v>0</v>
      </c>
      <c r="AS62" s="11">
        <v>0</v>
      </c>
      <c r="AT62" s="11">
        <v>3600</v>
      </c>
      <c r="AU62" t="s">
        <v>74</v>
      </c>
      <c r="AW62" s="11">
        <v>0</v>
      </c>
      <c r="AX62" s="11">
        <v>0</v>
      </c>
    </row>
    <row r="63" ht="12.75">
      <c r="A63">
        <v>57</v>
      </c>
      <c r="B63" t="s">
        <v>270</v>
      </c>
      <c r="C63" t="s">
        <v>271</v>
      </c>
      <c r="D63" t="s">
        <v>272</v>
      </c>
      <c r="E63" t="s">
        <v>273</v>
      </c>
      <c r="F63" t="s">
        <v>85</v>
      </c>
      <c r="G63" t="s">
        <v>86</v>
      </c>
      <c r="H63" t="s">
        <v>87</v>
      </c>
      <c r="I63" t="s">
        <v>88</v>
      </c>
      <c r="J63" t="s">
        <v>274</v>
      </c>
      <c r="K63" s="10">
        <v>45749</v>
      </c>
      <c r="L63" s="11">
        <v>10500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AF63" s="11">
        <v>0</v>
      </c>
      <c r="AK63" s="11">
        <v>-18</v>
      </c>
      <c r="AL63" s="11">
        <v>0</v>
      </c>
      <c r="AM63" s="11">
        <v>10500</v>
      </c>
      <c r="AN63" s="11">
        <v>10500</v>
      </c>
      <c r="AO63" s="11">
        <v>11.25</v>
      </c>
      <c r="AP63" s="11">
        <v>0</v>
      </c>
      <c r="AQ63" s="11">
        <v>0</v>
      </c>
      <c r="AR63" s="11">
        <v>0</v>
      </c>
      <c r="AS63" s="11">
        <v>0</v>
      </c>
      <c r="AT63" s="11">
        <v>10482</v>
      </c>
      <c r="AU63" t="s">
        <v>275</v>
      </c>
      <c r="AW63" s="11">
        <v>0</v>
      </c>
      <c r="AX63" s="11">
        <v>0</v>
      </c>
    </row>
    <row r="64" ht="12.75">
      <c r="A64">
        <v>58</v>
      </c>
      <c r="B64" t="s">
        <v>276</v>
      </c>
      <c r="C64" t="s">
        <v>277</v>
      </c>
      <c r="D64" t="s">
        <v>97</v>
      </c>
      <c r="E64" t="s">
        <v>98</v>
      </c>
      <c r="F64" t="s">
        <v>85</v>
      </c>
      <c r="G64" t="s">
        <v>86</v>
      </c>
      <c r="H64" t="s">
        <v>87</v>
      </c>
      <c r="I64" t="s">
        <v>88</v>
      </c>
      <c r="J64" t="s">
        <v>278</v>
      </c>
      <c r="K64" s="10">
        <v>45726</v>
      </c>
      <c r="L64" s="11">
        <v>5500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AF64" s="11">
        <v>0</v>
      </c>
      <c r="AL64" s="11">
        <v>0</v>
      </c>
      <c r="AM64" s="11">
        <v>5500</v>
      </c>
      <c r="AN64" s="11">
        <v>5500</v>
      </c>
      <c r="AO64" s="11">
        <v>11.25</v>
      </c>
      <c r="AP64" s="11">
        <v>550</v>
      </c>
      <c r="AQ64" s="11">
        <v>0</v>
      </c>
      <c r="AR64" s="11">
        <v>0</v>
      </c>
      <c r="AS64" s="11">
        <v>0</v>
      </c>
      <c r="AT64" s="11">
        <v>5500</v>
      </c>
      <c r="AU64" t="s">
        <v>247</v>
      </c>
      <c r="AW64" s="11">
        <v>0</v>
      </c>
      <c r="AX64" s="11">
        <v>0</v>
      </c>
    </row>
    <row r="65" ht="12.75">
      <c r="A65">
        <v>59</v>
      </c>
      <c r="B65" t="s">
        <v>279</v>
      </c>
      <c r="C65" t="s">
        <v>280</v>
      </c>
      <c r="D65" t="s">
        <v>281</v>
      </c>
      <c r="E65" t="s">
        <v>282</v>
      </c>
      <c r="F65" t="s">
        <v>283</v>
      </c>
      <c r="G65" t="s">
        <v>86</v>
      </c>
      <c r="H65" t="s">
        <v>128</v>
      </c>
      <c r="I65" t="s">
        <v>129</v>
      </c>
      <c r="J65" t="s">
        <v>284</v>
      </c>
      <c r="K65" s="10">
        <v>45728</v>
      </c>
      <c r="L65" s="11">
        <v>1600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AF65" s="11">
        <v>-173.93</v>
      </c>
      <c r="AL65" s="11">
        <v>0</v>
      </c>
      <c r="AM65" s="11">
        <v>1426.07</v>
      </c>
      <c r="AN65" s="11">
        <v>1426.07</v>
      </c>
      <c r="AO65" s="11">
        <v>3.57</v>
      </c>
      <c r="AP65" s="11">
        <v>700</v>
      </c>
      <c r="AQ65" s="11">
        <v>0</v>
      </c>
      <c r="AR65" s="11">
        <v>0</v>
      </c>
      <c r="AS65" s="11">
        <v>0</v>
      </c>
      <c r="AT65" s="11">
        <v>1426.07</v>
      </c>
      <c r="AU65" t="s">
        <v>247</v>
      </c>
      <c r="AW65" s="11">
        <v>0</v>
      </c>
      <c r="AX65" s="11">
        <v>0</v>
      </c>
    </row>
    <row r="66" ht="12.75">
      <c r="A66">
        <v>60</v>
      </c>
      <c r="B66" t="s">
        <v>285</v>
      </c>
      <c r="C66" t="s">
        <v>286</v>
      </c>
      <c r="D66" t="s">
        <v>110</v>
      </c>
      <c r="E66" t="s">
        <v>111</v>
      </c>
      <c r="F66" t="s">
        <v>85</v>
      </c>
      <c r="G66" t="s">
        <v>86</v>
      </c>
      <c r="H66" t="s">
        <v>128</v>
      </c>
      <c r="I66" t="s">
        <v>129</v>
      </c>
      <c r="J66" t="s">
        <v>287</v>
      </c>
      <c r="K66" s="10">
        <v>45733</v>
      </c>
      <c r="L66" s="11">
        <v>156.52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U66" s="11">
        <v>332.32</v>
      </c>
      <c r="W66" s="11">
        <v>782.61</v>
      </c>
      <c r="AE66" s="11">
        <v>-1044.75</v>
      </c>
      <c r="AF66" s="11">
        <v>0</v>
      </c>
      <c r="AL66" s="11">
        <v>0</v>
      </c>
      <c r="AM66" s="11">
        <v>1271.45</v>
      </c>
      <c r="AN66" s="11">
        <v>488.84</v>
      </c>
      <c r="AO66" s="11">
        <v>2</v>
      </c>
      <c r="AP66" s="11">
        <v>46.04</v>
      </c>
      <c r="AQ66" s="11">
        <v>0</v>
      </c>
      <c r="AR66" s="11">
        <v>0</v>
      </c>
      <c r="AS66" s="11">
        <v>0</v>
      </c>
      <c r="AT66" s="11">
        <v>226.7</v>
      </c>
      <c r="AU66" t="s">
        <v>247</v>
      </c>
      <c r="AW66" s="11">
        <v>0</v>
      </c>
      <c r="AX66" s="11">
        <v>0</v>
      </c>
    </row>
    <row r="67" ht="12.75">
      <c r="A67">
        <v>61</v>
      </c>
      <c r="B67" t="s">
        <v>288</v>
      </c>
      <c r="C67" t="s">
        <v>289</v>
      </c>
      <c r="D67" t="s">
        <v>281</v>
      </c>
      <c r="E67" t="s">
        <v>282</v>
      </c>
      <c r="F67" t="s">
        <v>69</v>
      </c>
      <c r="G67" t="s">
        <v>70</v>
      </c>
      <c r="H67" t="s">
        <v>87</v>
      </c>
      <c r="I67" t="s">
        <v>88</v>
      </c>
      <c r="J67" t="s">
        <v>290</v>
      </c>
      <c r="K67" s="10">
        <v>45756</v>
      </c>
      <c r="L67" s="11">
        <v>5000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AF67" s="11">
        <v>-0.29</v>
      </c>
      <c r="AK67" s="11">
        <v>-9</v>
      </c>
      <c r="AL67" s="11">
        <v>0</v>
      </c>
      <c r="AM67" s="11">
        <v>4999.71</v>
      </c>
      <c r="AN67" s="11">
        <v>4999.71</v>
      </c>
      <c r="AO67" s="11">
        <v>11.25</v>
      </c>
      <c r="AP67" s="11">
        <v>0</v>
      </c>
      <c r="AQ67" s="11">
        <v>851</v>
      </c>
      <c r="AR67" s="11">
        <v>-999</v>
      </c>
      <c r="AS67" s="11">
        <v>1850</v>
      </c>
      <c r="AT67" s="11">
        <v>3991.71</v>
      </c>
      <c r="AU67" t="s">
        <v>74</v>
      </c>
      <c r="AW67" s="11">
        <v>0</v>
      </c>
      <c r="AX67" s="11">
        <v>0</v>
      </c>
    </row>
    <row r="68" ht="12.75">
      <c r="A68">
        <v>62</v>
      </c>
      <c r="B68" t="s">
        <v>291</v>
      </c>
      <c r="C68" t="s">
        <v>292</v>
      </c>
      <c r="D68" t="s">
        <v>97</v>
      </c>
      <c r="E68" t="s">
        <v>98</v>
      </c>
      <c r="F68" t="s">
        <v>256</v>
      </c>
      <c r="G68" t="s">
        <v>70</v>
      </c>
      <c r="H68" t="s">
        <v>99</v>
      </c>
      <c r="I68" t="s">
        <v>100</v>
      </c>
      <c r="J68" t="s">
        <v>293</v>
      </c>
      <c r="K68" s="10">
        <v>45809</v>
      </c>
      <c r="L68" s="11">
        <v>3000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AF68" s="11">
        <v>0</v>
      </c>
      <c r="AK68" s="11">
        <v>-7</v>
      </c>
      <c r="AL68" s="11">
        <v>0</v>
      </c>
      <c r="AM68" s="11">
        <v>3000</v>
      </c>
      <c r="AN68" s="11">
        <v>3000</v>
      </c>
      <c r="AO68" s="11">
        <v>7.5</v>
      </c>
      <c r="AP68" s="11">
        <v>0</v>
      </c>
      <c r="AQ68" s="11">
        <v>510</v>
      </c>
      <c r="AR68" s="11">
        <v>-600</v>
      </c>
      <c r="AS68" s="11">
        <v>1110</v>
      </c>
      <c r="AT68" s="11">
        <v>2393</v>
      </c>
      <c r="AU68" t="s">
        <v>275</v>
      </c>
      <c r="AW68" s="11">
        <v>0</v>
      </c>
      <c r="AX68" s="11">
        <v>0</v>
      </c>
    </row>
    <row r="69" ht="12.75">
      <c r="A69">
        <v>63</v>
      </c>
      <c r="B69" t="s">
        <v>294</v>
      </c>
      <c r="C69" t="s">
        <v>295</v>
      </c>
      <c r="D69" t="s">
        <v>97</v>
      </c>
      <c r="E69" t="s">
        <v>98</v>
      </c>
      <c r="F69" t="s">
        <v>85</v>
      </c>
      <c r="G69" t="s">
        <v>86</v>
      </c>
      <c r="H69" t="s">
        <v>99</v>
      </c>
      <c r="I69" t="s">
        <v>100</v>
      </c>
      <c r="J69" t="s">
        <v>296</v>
      </c>
      <c r="K69" s="10">
        <v>45861</v>
      </c>
      <c r="L69" s="11">
        <v>342.86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Y69" s="11">
        <v>-200</v>
      </c>
      <c r="AF69" s="11">
        <v>0</v>
      </c>
      <c r="AL69" s="11">
        <v>0</v>
      </c>
      <c r="AM69" s="11">
        <v>342.86</v>
      </c>
      <c r="AN69" s="11">
        <v>342.86</v>
      </c>
      <c r="AO69" s="11">
        <v>2</v>
      </c>
      <c r="AP69" s="11">
        <v>147.87</v>
      </c>
      <c r="AQ69" s="11">
        <v>0</v>
      </c>
      <c r="AR69" s="11">
        <v>0</v>
      </c>
      <c r="AS69" s="11">
        <v>0</v>
      </c>
      <c r="AT69" s="11">
        <v>142.86</v>
      </c>
      <c r="AU69" t="s">
        <v>275</v>
      </c>
      <c r="AW69" s="11">
        <v>0</v>
      </c>
      <c r="AX69" s="11">
        <v>0</v>
      </c>
    </row>
    <row r="70" ht="12.75">
      <c r="A70" s="12"/>
      <c r="B70" s="12" t="s">
        <v>297</v>
      </c>
      <c r="C70" s="12"/>
      <c r="D70" s="12"/>
      <c r="E70" s="12"/>
      <c r="F70" s="12"/>
      <c r="G70" s="12"/>
      <c r="H70" s="12"/>
      <c r="I70" s="12"/>
      <c r="J70" s="12"/>
      <c r="K70" s="12"/>
      <c r="L70" s="12">
        <f>SUM(L7:L69)</f>
        <v>245025.46999999997</v>
      </c>
      <c r="M70" s="12">
        <f>SUM(M7:M69)</f>
        <v>0</v>
      </c>
      <c r="N70" s="12">
        <f>SUM(N7:N69)</f>
        <v>0</v>
      </c>
      <c r="O70" s="12">
        <f>SUM(O7:O69)</f>
        <v>0</v>
      </c>
      <c r="P70" s="12">
        <f>SUM(P7:P69)</f>
        <v>0</v>
      </c>
      <c r="Q70" s="12">
        <f>SUM(Q7:Q69)</f>
        <v>0</v>
      </c>
      <c r="R70" s="12">
        <f>SUM(R7:R69)</f>
        <v>0</v>
      </c>
      <c r="S70" s="12">
        <f>SUM(S7:S69)</f>
        <v>0</v>
      </c>
      <c r="T70" s="12">
        <f>SUM(T7:T69)</f>
        <v>900</v>
      </c>
      <c r="U70" s="12">
        <f>SUM(U7:U69)</f>
        <v>332.32</v>
      </c>
      <c r="V70" s="12">
        <f>SUM(V7:V69)</f>
        <v>100</v>
      </c>
      <c r="W70" s="12">
        <f>SUM(W7:W69)</f>
        <v>782.61</v>
      </c>
      <c r="X70" s="12">
        <f>SUM(X7:X69)</f>
        <v>2000</v>
      </c>
      <c r="Y70" s="12">
        <f>SUM(Y7:Y69)</f>
        <v>-200</v>
      </c>
      <c r="Z70" s="12">
        <f>SUM(Z7:Z69)</f>
        <v>-300</v>
      </c>
      <c r="AA70" s="12">
        <f>SUM(AA7:AA69)</f>
        <v>-400</v>
      </c>
      <c r="AB70" s="12">
        <f>SUM(AB7:AB69)</f>
        <v>-400</v>
      </c>
      <c r="AC70" s="12">
        <f>SUM(AC7:AC69)</f>
        <v>-150</v>
      </c>
      <c r="AD70" s="12">
        <f>SUM(AD7:AD69)</f>
        <v>-158.18</v>
      </c>
      <c r="AE70" s="12">
        <f>SUM(AE7:AE69)</f>
        <v>-2133.91</v>
      </c>
      <c r="AF70" s="12">
        <f>SUM(AF7:AF69)</f>
        <v>-7310.22</v>
      </c>
      <c r="AG70" s="12">
        <f>SUM(AG7:AG69)</f>
        <v>0</v>
      </c>
      <c r="AH70" s="12">
        <f>SUM(AH7:AH69)</f>
        <v>-10</v>
      </c>
      <c r="AI70" s="12">
        <f>SUM(AI7:AI69)</f>
        <v>0</v>
      </c>
      <c r="AJ70" s="12">
        <f>SUM(AJ7:AJ69)</f>
        <v>-87</v>
      </c>
      <c r="AK70" s="12">
        <f>SUM(AK7:AK69)</f>
        <v>-159</v>
      </c>
      <c r="AL70" s="12">
        <f>SUM(AL7:AL69)</f>
        <v>0</v>
      </c>
      <c r="AM70" s="12">
        <f>SUM(AM7:AM69)</f>
        <v>241830.18</v>
      </c>
      <c r="AN70" s="12">
        <f>SUM(AN7:AN69)</f>
        <v>239047.56999999998</v>
      </c>
      <c r="AO70" s="12">
        <f>SUM(AO7:AO69)</f>
        <v>424.31</v>
      </c>
      <c r="AP70" s="12">
        <f>SUM(AP7:AP69)</f>
        <v>26270.27</v>
      </c>
      <c r="AQ70" s="12">
        <f>SUM(AQ7:AQ69)</f>
        <v>15647</v>
      </c>
      <c r="AR70" s="12">
        <f>SUM(AR7:AR69)</f>
        <v>-17655</v>
      </c>
      <c r="AS70" s="12">
        <f>SUM(AS7:AS69)</f>
        <v>33302</v>
      </c>
      <c r="AT70" s="12">
        <f>SUM(AT7:AT69)</f>
        <v>220177.09</v>
      </c>
      <c r="AU70" s="12"/>
      <c r="AV70" s="12"/>
      <c r="AW70" s="12">
        <f>SUM(AW7:AW69)</f>
        <v>0</v>
      </c>
      <c r="AX70" s="12">
        <f>SUM(AX7:AX69)</f>
        <v>0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</sheetData>
  <mergeCells count="13">
    <mergeCell ref="A1:AX1"/>
    <mergeCell ref="L4:S4"/>
    <mergeCell ref="U4:V4"/>
    <mergeCell ref="W4:AE4"/>
    <mergeCell ref="AF4:AK4"/>
    <mergeCell ref="AW4:AX4"/>
    <mergeCell ref="M5:Q5"/>
    <mergeCell ref="U5:V5"/>
    <mergeCell ref="W5:X5"/>
    <mergeCell ref="Y5:AE5"/>
    <mergeCell ref="AF5:AK5"/>
    <mergeCell ref="AQ5:AS5"/>
    <mergeCell ref="AW5:AX5"/>
  </mergeCells>
  <printOptions/>
  <pageMargins left="0.75" right="0.75" top="1" bottom="1" header="0.5" footer="0.5"/>
  <pageSetup orientation="portrait" pageOrder="downThenOver"/>
</worksheet>
</file>